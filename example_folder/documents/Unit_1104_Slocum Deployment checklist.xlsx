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G:\.shortcut-targets-by-id\1Z7PX__ZLrJ6oL2wHtDtiATh5eAh4Cgg3\Oceanly Science\Instrumentation\Ocean glider\Slocum Training material 2025\"/>
    </mc:Choice>
  </mc:AlternateContent>
  <xr:revisionPtr revIDLastSave="0" documentId="13_ncr:1_{647CFDD1-1417-45D8-B032-22F523F7E9C0}" xr6:coauthVersionLast="47" xr6:coauthVersionMax="47" xr10:uidLastSave="{00000000-0000-0000-0000-000000000000}"/>
  <bookViews>
    <workbookView xWindow="-120" yWindow="-120" windowWidth="29040" windowHeight="15720" xr2:uid="{366ECCAC-3871-4674-B91E-E3B105D14CD4}"/>
  </bookViews>
  <sheets>
    <sheet name="Checklist" sheetId="1" r:id="rId1"/>
    <sheet name="automation-nation" sheetId="2" state="hidden" r:id="rId2"/>
    <sheet name="NOTES" sheetId="3" state="hidden" r:id="rId3"/>
    <sheet name="Change Log" sheetId="4" r:id="rId4"/>
  </sheets>
  <definedNames>
    <definedName name="glider1">Checklist!$D$21</definedName>
    <definedName name="glider2">Checklist!$D$22</definedName>
    <definedName name="glider3">Checklist!$D$23</definedName>
    <definedName name="glider4">Checklist!$D$24</definedName>
    <definedName name="glider5">Checklist!$D$25</definedName>
    <definedName name="microrider1">Checklist!$E$21</definedName>
    <definedName name="microrider2">Checklist!$E$22</definedName>
    <definedName name="microrider3">Checklist!$E$23</definedName>
    <definedName name="microrider4">Checklist!$E$24</definedName>
    <definedName name="microrider5">Checklist!$E$25</definedName>
    <definedName name="num_gliders">Checklist!$D$19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 r="G36" i="1"/>
  <c r="G37" i="1"/>
  <c r="G38" i="1"/>
  <c r="G39" i="1"/>
  <c r="G40" i="1"/>
  <c r="G41" i="1"/>
  <c r="G42" i="1"/>
  <c r="G97" i="1"/>
  <c r="G98" i="1"/>
  <c r="G99" i="1"/>
  <c r="G100" i="1"/>
  <c r="G84" i="1"/>
  <c r="G85" i="1"/>
  <c r="G86" i="1"/>
  <c r="G87" i="1"/>
  <c r="G88" i="1"/>
  <c r="G89" i="1"/>
  <c r="G90" i="1"/>
  <c r="G91" i="1"/>
  <c r="G92" i="1"/>
  <c r="G93" i="1"/>
  <c r="G94" i="1"/>
  <c r="G62" i="1"/>
  <c r="G63" i="1"/>
  <c r="G64" i="1"/>
  <c r="G65" i="1"/>
  <c r="G66" i="1"/>
  <c r="G67" i="1"/>
  <c r="G68" i="1"/>
  <c r="G69" i="1"/>
  <c r="G70" i="1"/>
  <c r="G71" i="1"/>
  <c r="G72" i="1"/>
  <c r="G73" i="1"/>
  <c r="G74" i="1"/>
  <c r="G75" i="1"/>
  <c r="G76" i="1"/>
  <c r="G77" i="1"/>
  <c r="G78" i="1"/>
  <c r="G79" i="1"/>
  <c r="G80" i="1"/>
  <c r="G81" i="1"/>
  <c r="G82" i="1"/>
  <c r="G96" i="1"/>
  <c r="G61" i="1"/>
  <c r="G46" i="1"/>
  <c r="G47" i="1"/>
  <c r="G48" i="1"/>
  <c r="G49" i="1"/>
  <c r="G50" i="1"/>
  <c r="G51" i="1"/>
  <c r="G52" i="1"/>
  <c r="G53" i="1"/>
  <c r="G54" i="1"/>
  <c r="G55" i="1"/>
  <c r="G56" i="1"/>
  <c r="G57" i="1"/>
  <c r="G58" i="1"/>
  <c r="G59" i="1"/>
  <c r="G44" i="1"/>
  <c r="D25" i="1"/>
  <c r="E25" i="1" s="1"/>
  <c r="D24" i="1"/>
  <c r="E24" i="1" s="1"/>
  <c r="D23" i="1"/>
  <c r="D22" i="1"/>
  <c r="G1" i="1"/>
  <c r="C25" i="1"/>
  <c r="C24" i="1"/>
  <c r="C23" i="1"/>
  <c r="C22" i="1"/>
  <c r="O42" i="1" l="1"/>
  <c r="O84" i="1"/>
  <c r="O72" i="1"/>
  <c r="O73" i="1"/>
  <c r="O86" i="1"/>
  <c r="M57" i="1"/>
  <c r="O45" i="1"/>
  <c r="O40" i="1"/>
  <c r="M40" i="1"/>
  <c r="O78" i="1"/>
  <c r="M73" i="1"/>
  <c r="M58" i="1"/>
  <c r="O50" i="1"/>
  <c r="O57" i="1"/>
  <c r="M50" i="1"/>
  <c r="O64" i="1"/>
  <c r="O89" i="1"/>
  <c r="M72" i="1"/>
  <c r="O49" i="1"/>
  <c r="M64" i="1"/>
  <c r="M49" i="1"/>
  <c r="O80" i="1"/>
  <c r="M89" i="1"/>
  <c r="M54" i="1"/>
  <c r="M80" i="1"/>
  <c r="O63" i="1"/>
  <c r="O48" i="1"/>
  <c r="M59" i="1"/>
  <c r="O79" i="1"/>
  <c r="O87" i="1"/>
  <c r="M79" i="1"/>
  <c r="M74" i="1"/>
  <c r="M94" i="1"/>
  <c r="M87" i="1"/>
  <c r="O35" i="1"/>
  <c r="O58" i="1"/>
  <c r="M48" i="1"/>
  <c r="M63" i="1"/>
  <c r="O56" i="1"/>
  <c r="M78" i="1"/>
  <c r="O71" i="1"/>
  <c r="M86" i="1"/>
  <c r="O1" i="1"/>
  <c r="O47" i="1"/>
  <c r="M71" i="1"/>
  <c r="O62" i="1"/>
  <c r="M55" i="1"/>
  <c r="M47" i="1"/>
  <c r="O77" i="1"/>
  <c r="M62" i="1"/>
  <c r="O85" i="1"/>
  <c r="M77" i="1"/>
  <c r="O70" i="1"/>
  <c r="M85" i="1"/>
  <c r="O54" i="1"/>
  <c r="M70" i="1"/>
  <c r="O94" i="1"/>
  <c r="M68" i="1"/>
  <c r="M61" i="1"/>
  <c r="O61" i="1"/>
  <c r="M67" i="1"/>
  <c r="M38" i="1"/>
  <c r="M91" i="1"/>
  <c r="O68" i="1"/>
  <c r="M53" i="1"/>
  <c r="O100" i="1"/>
  <c r="O39" i="1"/>
  <c r="M39" i="1"/>
  <c r="O38" i="1"/>
  <c r="O98" i="1"/>
  <c r="M98" i="1"/>
  <c r="O37" i="1"/>
  <c r="O51" i="1"/>
  <c r="O66" i="1"/>
  <c r="M37" i="1"/>
  <c r="M51" i="1"/>
  <c r="M66" i="1"/>
  <c r="O91" i="1"/>
  <c r="M96" i="1"/>
  <c r="O96" i="1"/>
  <c r="M45" i="1"/>
  <c r="M84" i="1"/>
  <c r="O53" i="1"/>
  <c r="O92" i="1"/>
  <c r="M92" i="1"/>
  <c r="O52" i="1"/>
  <c r="O67" i="1"/>
  <c r="M52" i="1"/>
  <c r="M44" i="1"/>
  <c r="O90" i="1"/>
  <c r="O44" i="1"/>
  <c r="O81" i="1"/>
  <c r="O75" i="1"/>
  <c r="M90" i="1"/>
  <c r="M35" i="1"/>
  <c r="O59" i="1"/>
  <c r="M81" i="1"/>
  <c r="K89" i="1"/>
  <c r="K56" i="1"/>
  <c r="O97" i="1"/>
  <c r="O76" i="1"/>
  <c r="M69" i="1"/>
  <c r="O88" i="1"/>
  <c r="M97" i="1"/>
  <c r="K1" i="1"/>
  <c r="O41" i="1"/>
  <c r="O36" i="1"/>
  <c r="O46" i="1"/>
  <c r="M76" i="1"/>
  <c r="K69" i="1"/>
  <c r="O65" i="1"/>
  <c r="I93" i="1"/>
  <c r="M88" i="1"/>
  <c r="K97" i="1"/>
  <c r="K77" i="1"/>
  <c r="M42" i="1"/>
  <c r="M56" i="1"/>
  <c r="O82" i="1"/>
  <c r="M75" i="1"/>
  <c r="O93" i="1"/>
  <c r="M100" i="1"/>
  <c r="M82" i="1"/>
  <c r="O69" i="1"/>
  <c r="M93" i="1"/>
  <c r="I1" i="1"/>
  <c r="K82" i="1"/>
  <c r="K93" i="1"/>
  <c r="I100" i="1"/>
  <c r="M1" i="1"/>
  <c r="M41" i="1"/>
  <c r="M36" i="1"/>
  <c r="O55" i="1"/>
  <c r="M46" i="1"/>
  <c r="O74" i="1"/>
  <c r="M65" i="1"/>
  <c r="O99" i="1"/>
  <c r="M99" i="1"/>
  <c r="E22" i="1"/>
  <c r="I88" i="1" s="1"/>
  <c r="E23" i="1"/>
  <c r="K63" i="1" s="1"/>
  <c r="I70" i="1" l="1"/>
  <c r="I51" i="1"/>
  <c r="I37" i="1"/>
  <c r="I94" i="1"/>
  <c r="I82" i="1"/>
  <c r="I75" i="1"/>
  <c r="I86" i="1"/>
  <c r="I47" i="1"/>
  <c r="I56" i="1"/>
  <c r="I67" i="1"/>
  <c r="K57" i="1"/>
  <c r="K90" i="1"/>
  <c r="K71" i="1"/>
  <c r="K70" i="1"/>
  <c r="K96" i="1"/>
  <c r="K37" i="1"/>
  <c r="K35" i="1"/>
  <c r="K38" i="1"/>
  <c r="K62" i="1"/>
  <c r="K66" i="1"/>
  <c r="K39" i="1"/>
  <c r="K51" i="1"/>
  <c r="K84" i="1"/>
  <c r="K48" i="1"/>
  <c r="K78" i="1"/>
  <c r="K85" i="1"/>
  <c r="K79" i="1"/>
  <c r="K94" i="1"/>
  <c r="K52" i="1"/>
  <c r="K58" i="1"/>
  <c r="K49" i="1"/>
  <c r="K91" i="1"/>
  <c r="K72" i="1"/>
  <c r="K67" i="1"/>
  <c r="K68" i="1"/>
  <c r="K55" i="1"/>
  <c r="K50" i="1"/>
  <c r="K80" i="1"/>
  <c r="K98" i="1"/>
  <c r="K73" i="1"/>
  <c r="K54" i="1"/>
  <c r="K64" i="1"/>
  <c r="K45" i="1"/>
  <c r="K87" i="1"/>
  <c r="K44" i="1"/>
  <c r="K40" i="1"/>
  <c r="K92" i="1"/>
  <c r="K81" i="1"/>
  <c r="K99" i="1"/>
  <c r="K74" i="1"/>
  <c r="K53" i="1"/>
  <c r="K59" i="1"/>
  <c r="K100" i="1"/>
  <c r="K61" i="1"/>
  <c r="K36" i="1"/>
  <c r="I97" i="1"/>
  <c r="I77" i="1"/>
  <c r="K76" i="1"/>
  <c r="I80" i="1"/>
  <c r="K47" i="1"/>
  <c r="I91" i="1"/>
  <c r="I53" i="1"/>
  <c r="I63" i="1"/>
  <c r="I96" i="1"/>
  <c r="I78" i="1"/>
  <c r="I35" i="1"/>
  <c r="I52" i="1"/>
  <c r="I49" i="1"/>
  <c r="I72" i="1"/>
  <c r="I84" i="1"/>
  <c r="I57" i="1"/>
  <c r="I48" i="1"/>
  <c r="I71" i="1"/>
  <c r="I62" i="1"/>
  <c r="I85" i="1"/>
  <c r="I79" i="1"/>
  <c r="I39" i="1"/>
  <c r="I90" i="1"/>
  <c r="I38" i="1"/>
  <c r="I66" i="1"/>
  <c r="I58" i="1"/>
  <c r="I98" i="1"/>
  <c r="I45" i="1"/>
  <c r="I87" i="1"/>
  <c r="I68" i="1"/>
  <c r="I81" i="1"/>
  <c r="I55" i="1"/>
  <c r="I46" i="1"/>
  <c r="I73" i="1"/>
  <c r="I54" i="1"/>
  <c r="I64" i="1"/>
  <c r="I40" i="1"/>
  <c r="I92" i="1"/>
  <c r="I44" i="1"/>
  <c r="I99" i="1"/>
  <c r="I74" i="1"/>
  <c r="I65" i="1"/>
  <c r="I36" i="1"/>
  <c r="I41" i="1"/>
  <c r="I76" i="1"/>
  <c r="K46" i="1"/>
  <c r="I59" i="1"/>
  <c r="I61" i="1"/>
  <c r="K41" i="1"/>
  <c r="K42" i="1"/>
  <c r="I89" i="1"/>
  <c r="K86" i="1"/>
  <c r="K88" i="1"/>
  <c r="I50" i="1"/>
  <c r="I69" i="1"/>
  <c r="I42" i="1"/>
  <c r="K75" i="1"/>
  <c r="K65" i="1"/>
  <c r="O83" i="1"/>
  <c r="G95" i="1"/>
  <c r="M95" i="1"/>
  <c r="M43" i="1"/>
  <c r="M60" i="1"/>
  <c r="M34" i="1"/>
  <c r="M83" i="1"/>
  <c r="O60" i="1"/>
  <c r="O95" i="1"/>
  <c r="O34" i="1"/>
  <c r="O43" i="1"/>
  <c r="G43" i="1"/>
  <c r="G83" i="1"/>
  <c r="G34" i="1"/>
  <c r="G60" i="1"/>
  <c r="C33" i="1"/>
  <c r="I34" i="1" l="1"/>
  <c r="K43" i="1"/>
  <c r="I43" i="1"/>
  <c r="K60" i="1"/>
  <c r="K34" i="1"/>
  <c r="K95" i="1"/>
  <c r="I95" i="1"/>
  <c r="K83" i="1"/>
  <c r="I83" i="1"/>
  <c r="I60" i="1"/>
  <c r="N33" i="1"/>
  <c r="P33" i="1"/>
  <c r="J33" i="1" l="1"/>
  <c r="L33" i="1"/>
  <c r="H33" i="1"/>
</calcChain>
</file>

<file path=xl/sharedStrings.xml><?xml version="1.0" encoding="utf-8"?>
<sst xmlns="http://schemas.openxmlformats.org/spreadsheetml/2006/main" count="384" uniqueCount="139">
  <si>
    <t>SOP-Link in grey</t>
  </si>
  <si>
    <t>Tasks</t>
  </si>
  <si>
    <t>Command</t>
  </si>
  <si>
    <t>Date</t>
  </si>
  <si>
    <t>Comments</t>
  </si>
  <si>
    <t>Extra</t>
  </si>
  <si>
    <t>SLC-CL-DEP05 Slocum deployment checklist</t>
  </si>
  <si>
    <t>Deployment mission:</t>
  </si>
  <si>
    <t>Current Engineer:</t>
  </si>
  <si>
    <t xml:space="preserve">Date Deployed: </t>
  </si>
  <si>
    <t>Deployment</t>
  </si>
  <si>
    <t>Fill in below</t>
  </si>
  <si>
    <t>number of gliders:</t>
  </si>
  <si>
    <t>Glider names</t>
  </si>
  <si>
    <t>Is there a MR installed</t>
  </si>
  <si>
    <t>Glider Name 1:</t>
  </si>
  <si>
    <t>no</t>
  </si>
  <si>
    <t>Section name</t>
  </si>
  <si>
    <t>tasks</t>
  </si>
  <si>
    <t>task complete</t>
  </si>
  <si>
    <t>section complete</t>
  </si>
  <si>
    <t>Task Complete</t>
  </si>
  <si>
    <t>Pre-Deployment</t>
  </si>
  <si>
    <t>SFMC Admin archive Deployment on SFMC</t>
  </si>
  <si>
    <t>-</t>
  </si>
  <si>
    <t xml:space="preserve">Cache files </t>
  </si>
  <si>
    <t>test remote comms</t>
  </si>
  <si>
    <t>Cell - iridium go - iridium handset etc</t>
  </si>
  <si>
    <t>remote team confirms local testing done (not done)</t>
  </si>
  <si>
    <t>remote team relays glider turn over plan and ETA</t>
  </si>
  <si>
    <r>
      <t xml:space="preserve">Run a simulation </t>
    </r>
    <r>
      <rPr>
        <b/>
        <sz val="11"/>
        <color theme="1"/>
        <rFont val="Calibri"/>
        <family val="2"/>
        <scheme val="minor"/>
      </rPr>
      <t>(optional)</t>
    </r>
    <r>
      <rPr>
        <sz val="11"/>
        <color theme="1"/>
        <rFont val="Calibri"/>
        <family val="2"/>
        <scheme val="minor"/>
      </rPr>
      <t>. Check all files and data.</t>
    </r>
  </si>
  <si>
    <t>Download all relevant glider/sensors files and build the final version of the Expedition folder. Send it to the office/SharePoint if possible.</t>
  </si>
  <si>
    <t>*.ma, *.mi, config files (science and flight), Microrider SETUP.CFG, etc</t>
  </si>
  <si>
    <t>on deck</t>
  </si>
  <si>
    <t>Note time</t>
  </si>
  <si>
    <t>ensure remote teams has unplugged freewave</t>
  </si>
  <si>
    <t>stop initial.mi</t>
  </si>
  <si>
    <t>Ctrl-C x 2</t>
  </si>
  <si>
    <t>y</t>
  </si>
  <si>
    <t>increase time in gliderdos</t>
  </si>
  <si>
    <t>put u_max_time_in_gliderdos 3600</t>
  </si>
  <si>
    <t>optionally pull all config files eng or autoexec.mi and sbdlist.dat</t>
  </si>
  <si>
    <t>zs config/autoexec.mi zs config/sbdlist.dat</t>
  </si>
  <si>
    <t>optionally pull all config files sci or proglets.dat and tbdlist.dat</t>
  </si>
  <si>
    <t>szs /config/proglets.dat szs config/tbdlist.dat</t>
  </si>
  <si>
    <t>ensure vanila mission and mafiles pres</t>
  </si>
  <si>
    <t>(optionally type or send off or on)</t>
  </si>
  <si>
    <t>send in new goto and any new files</t>
  </si>
  <si>
    <t>dockzr *.*</t>
  </si>
  <si>
    <t>status.mi</t>
  </si>
  <si>
    <t>run status.mi</t>
  </si>
  <si>
    <t>confirm status.mi completes normally, there should be no aborts OR any aborts that have been sorted and understood</t>
  </si>
  <si>
    <t xml:space="preserve">why? </t>
  </si>
  <si>
    <t>confirm location#send sbd tbd, look at age of fix</t>
  </si>
  <si>
    <t>where</t>
  </si>
  <si>
    <t>plot eng and sci data</t>
  </si>
  <si>
    <t>send *.sbd *.tbd</t>
  </si>
  <si>
    <t>confirm eng data in datavisualizer</t>
  </si>
  <si>
    <t>You may need to provide cache file from Lab SFMC or send off glider</t>
  </si>
  <si>
    <t>confirm sci data in datavisualizer</t>
  </si>
  <si>
    <t>battery-vacuum-time-gps position-leak detects</t>
  </si>
  <si>
    <t>confirm devices do not have unusually high number of warnings or oddities</t>
  </si>
  <si>
    <t>use</t>
  </si>
  <si>
    <t>communicate to remote team if glider is okay to deploy</t>
  </si>
  <si>
    <t>From now on, the pilot team is responsible for control of the glider</t>
  </si>
  <si>
    <t>In Water</t>
  </si>
  <si>
    <t>remote team has communicated glider is deployed and is on or off bouy</t>
  </si>
  <si>
    <t>confirm surface dialog enf data</t>
  </si>
  <si>
    <t>confirm no aborts</t>
  </si>
  <si>
    <t>why?</t>
  </si>
  <si>
    <t>zero ocean pressure</t>
  </si>
  <si>
    <t>zero_ocean_pressure</t>
  </si>
  <si>
    <t>run ini0.mi (on bouy prefered)</t>
  </si>
  <si>
    <t>run ini0.mi</t>
  </si>
  <si>
    <t>send mdb</t>
  </si>
  <si>
    <t xml:space="preserve">send *.mbd -num=1 </t>
  </si>
  <si>
    <t>send all sbd and tbd (should be ini0 and status only)</t>
  </si>
  <si>
    <t>exit reset and catch glider on connection</t>
  </si>
  <si>
    <t>exit reset</t>
  </si>
  <si>
    <t>confirm ballast</t>
  </si>
  <si>
    <t>Is dive climb shaped like a nice V - if not use drive calculator ---&gt;</t>
  </si>
  <si>
    <t>glider drive calculator</t>
  </si>
  <si>
    <t>if not V inform crew of how many weights to add or remove and repeat ini0</t>
  </si>
  <si>
    <t>if ballast OK - Notify crew to remove bouy</t>
  </si>
  <si>
    <t>once notified glider is free - sequence mission.mi(5)</t>
  </si>
  <si>
    <t>Sequence mission.mi(5)   --- often an expedition specific mission name will substitute</t>
  </si>
  <si>
    <t>first vanila mission dive is 30 m</t>
  </si>
  <si>
    <t>confirm script is running</t>
  </si>
  <si>
    <t>Select or play script SFMC-g3s-ma-first-num=3.xml</t>
  </si>
  <si>
    <t>after this adjust dive depth and altitude per operations</t>
  </si>
  <si>
    <t>depth increases  are typically 100 300 600 990 (edit yo35.ma)</t>
  </si>
  <si>
    <t>adjust autoballast values as appropriate</t>
  </si>
  <si>
    <t>in mission during surface dialog optionally turn off or on current correction</t>
  </si>
  <si>
    <t>!put u_use_current_correction 0</t>
  </si>
  <si>
    <t>notify field crew that glider is on mission diving to full depth</t>
  </si>
  <si>
    <t>Remainder of day 1 (or in day 2)</t>
  </si>
  <si>
    <t>possilby increase number of half yos</t>
  </si>
  <si>
    <t xml:space="preserve">Increase no comms and number of yo as </t>
  </si>
  <si>
    <t>increase no comms</t>
  </si>
  <si>
    <t>navigation, data retrieval and nominal operation is confirmed</t>
  </si>
  <si>
    <t xml:space="preserve">adjust density of eng data as desired (sbdlist.dat) </t>
  </si>
  <si>
    <t>edit sbdlist.dat (restart mission)</t>
  </si>
  <si>
    <t xml:space="preserve">adjust density of sci data as desired (tbdlist.dat) </t>
  </si>
  <si>
    <t>edit tbdlist.dat (put in to-science)</t>
  </si>
  <si>
    <t xml:space="preserve">compare actual result to campaign plan and verify with lead pilot all requirements are being met or will be </t>
  </si>
  <si>
    <t>subscribe to aborts sms and/or calls</t>
  </si>
  <si>
    <t>GliderLab</t>
  </si>
  <si>
    <t>set SFMC email subscriptions</t>
  </si>
  <si>
    <t>glider specific page then options&gt;Configure Glider Event Subscriptions</t>
  </si>
  <si>
    <t>adjust min depth for alt - example here turn altimeter on the 40m and deeper</t>
  </si>
  <si>
    <t>!put u_alt_min_depth 40</t>
  </si>
  <si>
    <t>Day 2 and beyond</t>
  </si>
  <si>
    <t>daily logs and paste to C2</t>
  </si>
  <si>
    <t>SLC-CL-PLT05 Pilot log checklist.xlsx</t>
  </si>
  <si>
    <t>ensure deployment specific criteria are being satisfied - energy budget - science requirements - navigation requirements</t>
  </si>
  <si>
    <t>NOTES</t>
  </si>
  <si>
    <t>This Top section can be pulled by code with Sensor Tracker, Would need to test this</t>
  </si>
  <si>
    <t>Idea I have is you start your prep on gliderlab webpage and download a zip file with all the basic stuff input for you. In a hidden sheet baserd off the glider you are working on</t>
  </si>
  <si>
    <t>Cells D3:D18 get completed for you as you fill in the sheet</t>
  </si>
  <si>
    <t>Cells G3:G8(adding more for specific sensors this is just an example) again get added based off sensor tracker</t>
  </si>
  <si>
    <t xml:space="preserve">Meta data will be inputs of SN. Should not be nessisary just thought maybe…. </t>
  </si>
  <si>
    <t>You fill in y or n for the task complete row in the form below</t>
  </si>
  <si>
    <t>the section done will bne auto filled based off formula</t>
  </si>
  <si>
    <t>Macro (steve, I do not understand excel macros, I hate excel for stuff like that, so someone else could take that on) once Section task is complete, it gets hidden after you press update button or whatever</t>
  </si>
  <si>
    <t xml:space="preserve">This is just an example, based of the preliminary list Ben gave. We would have to add more details as we go. </t>
  </si>
  <si>
    <t xml:space="preserve">Specific sections could warent an SOP. Some may not need one. Sections for comments if needed for individual tasks. Like if you changed your pump mid way, add that in as a comment </t>
  </si>
  <si>
    <t>Version</t>
  </si>
  <si>
    <t>Contributor</t>
  </si>
  <si>
    <t>Change Log</t>
  </si>
  <si>
    <t>Ben</t>
  </si>
  <si>
    <t>initial</t>
  </si>
  <si>
    <t>AC</t>
  </si>
  <si>
    <t>changed over to use CL format</t>
  </si>
  <si>
    <t>Fixed formating</t>
  </si>
  <si>
    <t>1.1.1</t>
  </si>
  <si>
    <t>FS</t>
  </si>
  <si>
    <t>added MR stuff</t>
  </si>
  <si>
    <t>unit_1104</t>
  </si>
  <si>
    <t>look at max and min pumped in the header c_dive_bpump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</si>
</sst>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6"/>
      <color theme="1"/>
      <name val="Calibri"/>
      <family val="2"/>
      <scheme val="minor"/>
    </font>
    <font>
      <b/>
      <sz val="10"/>
      <color theme="1"/>
      <name val="Calibri"/>
      <family val="2"/>
      <scheme val="minor"/>
    </font>
    <font>
      <sz val="15"/>
      <color theme="1"/>
      <name val="Calibri"/>
      <family val="2"/>
      <scheme val="minor"/>
    </font>
    <font>
      <sz val="20"/>
      <color theme="1"/>
      <name val="Calibri"/>
      <family val="2"/>
      <scheme val="minor"/>
    </font>
    <font>
      <b/>
      <sz val="13"/>
      <color theme="1"/>
      <name val="Calibri"/>
      <family val="2"/>
      <scheme val="minor"/>
    </font>
    <font>
      <u/>
      <sz val="11"/>
      <color theme="10"/>
      <name val="Calibri"/>
      <family val="2"/>
      <scheme val="minor"/>
    </font>
    <font>
      <i/>
      <sz val="11"/>
      <color theme="1"/>
      <name val="Calibri"/>
      <family val="2"/>
      <scheme val="minor"/>
    </font>
    <font>
      <b/>
      <i/>
      <sz val="11"/>
      <color rgb="FFFF0000"/>
      <name val="Calibri"/>
      <family val="2"/>
      <scheme val="minor"/>
    </font>
    <font>
      <b/>
      <sz val="14"/>
      <color theme="1"/>
      <name val="Calibri"/>
      <family val="2"/>
      <scheme val="minor"/>
    </font>
    <font>
      <i/>
      <sz val="11"/>
      <color rgb="FFFF0000"/>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7" tint="0.39997558519241921"/>
        <bgColor indexed="64"/>
      </patternFill>
    </fill>
    <fill>
      <patternFill patternType="solid">
        <fgColor theme="4" tint="0.79998168889431442"/>
        <bgColor indexed="64"/>
      </patternFill>
    </fill>
  </fills>
  <borders count="3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style="thin">
        <color indexed="64"/>
      </left>
      <right style="thin">
        <color indexed="64"/>
      </right>
      <top/>
      <bottom style="thin">
        <color theme="0" tint="-0.24994659260841701"/>
      </bottom>
      <diagonal/>
    </border>
    <border>
      <left/>
      <right style="medium">
        <color indexed="64"/>
      </right>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right style="medium">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diagonal/>
    </border>
    <border>
      <left/>
      <right style="medium">
        <color indexed="64"/>
      </right>
      <top style="thin">
        <color theme="0" tint="-0.24994659260841701"/>
      </top>
      <bottom/>
      <diagonal/>
    </border>
    <border>
      <left style="thin">
        <color indexed="64"/>
      </left>
      <right style="thin">
        <color indexed="64"/>
      </right>
      <top style="thin">
        <color theme="0" tint="-0.24994659260841701"/>
      </top>
      <bottom style="medium">
        <color indexed="64"/>
      </bottom>
      <diagonal/>
    </border>
    <border>
      <left/>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
      <left style="thin">
        <color indexed="64"/>
      </left>
      <right/>
      <top/>
      <bottom style="thin">
        <color theme="0" tint="-0.24994659260841701"/>
      </bottom>
      <diagonal/>
    </border>
    <border>
      <left style="thin">
        <color indexed="64"/>
      </left>
      <right/>
      <top style="thin">
        <color theme="0" tint="-0.24994659260841701"/>
      </top>
      <bottom style="thin">
        <color theme="0" tint="-0.24994659260841701"/>
      </bottom>
      <diagonal/>
    </border>
    <border>
      <left style="thin">
        <color indexed="64"/>
      </left>
      <right/>
      <top style="thin">
        <color theme="0" tint="-0.24994659260841701"/>
      </top>
      <bottom/>
      <diagonal/>
    </border>
    <border>
      <left style="thin">
        <color indexed="64"/>
      </left>
      <right/>
      <top style="thin">
        <color theme="0" tint="-0.24994659260841701"/>
      </top>
      <bottom style="medium">
        <color indexed="64"/>
      </bottom>
      <diagonal/>
    </border>
  </borders>
  <cellStyleXfs count="2">
    <xf numFmtId="0" fontId="0" fillId="0" borderId="0"/>
    <xf numFmtId="0" fontId="7" fillId="0" borderId="0" applyNumberFormat="0" applyFill="0" applyBorder="0" applyAlignment="0" applyProtection="0"/>
  </cellStyleXfs>
  <cellXfs count="125">
    <xf numFmtId="0" fontId="0" fillId="0" borderId="0" xfId="0"/>
    <xf numFmtId="0" fontId="1" fillId="0" borderId="0" xfId="0" applyFont="1"/>
    <xf numFmtId="0" fontId="1" fillId="0" borderId="0" xfId="0" applyFont="1" applyAlignment="1">
      <alignment horizontal="center"/>
    </xf>
    <xf numFmtId="0" fontId="0" fillId="3" borderId="4" xfId="0" applyFill="1" applyBorder="1"/>
    <xf numFmtId="0" fontId="0" fillId="0" borderId="4" xfId="0" applyBorder="1"/>
    <xf numFmtId="0" fontId="0" fillId="0" borderId="5" xfId="0" applyBorder="1"/>
    <xf numFmtId="0" fontId="0" fillId="3" borderId="6" xfId="0" applyFill="1" applyBorder="1"/>
    <xf numFmtId="0" fontId="3" fillId="2" borderId="10" xfId="0" applyFont="1" applyFill="1" applyBorder="1" applyAlignment="1">
      <alignment horizontal="center" wrapText="1"/>
    </xf>
    <xf numFmtId="0" fontId="3" fillId="2" borderId="10" xfId="0" applyFont="1" applyFill="1" applyBorder="1" applyAlignment="1">
      <alignment horizontal="center" vertical="center"/>
    </xf>
    <xf numFmtId="0" fontId="0" fillId="3" borderId="5" xfId="0" applyFill="1" applyBorder="1"/>
    <xf numFmtId="0" fontId="0" fillId="3" borderId="7" xfId="0" applyFill="1" applyBorder="1"/>
    <xf numFmtId="0" fontId="0" fillId="3" borderId="8" xfId="0" applyFill="1" applyBorder="1"/>
    <xf numFmtId="0" fontId="0" fillId="3" borderId="2" xfId="0" applyFill="1" applyBorder="1"/>
    <xf numFmtId="0" fontId="0" fillId="3" borderId="3" xfId="0" applyFill="1" applyBorder="1"/>
    <xf numFmtId="0" fontId="6" fillId="5" borderId="1" xfId="0" applyFont="1" applyFill="1" applyBorder="1" applyAlignment="1">
      <alignment horizontal="center"/>
    </xf>
    <xf numFmtId="0" fontId="6" fillId="5" borderId="2" xfId="0" applyFont="1" applyFill="1" applyBorder="1" applyAlignment="1">
      <alignment horizontal="center"/>
    </xf>
    <xf numFmtId="0" fontId="6" fillId="5" borderId="2" xfId="0" applyFont="1" applyFill="1" applyBorder="1" applyAlignment="1">
      <alignment horizontal="center" wrapText="1"/>
    </xf>
    <xf numFmtId="0" fontId="0" fillId="5" borderId="1" xfId="0" applyFill="1" applyBorder="1"/>
    <xf numFmtId="0" fontId="0" fillId="5" borderId="2" xfId="0" applyFill="1" applyBorder="1"/>
    <xf numFmtId="0" fontId="0" fillId="5" borderId="3" xfId="0" applyFill="1" applyBorder="1"/>
    <xf numFmtId="0" fontId="0" fillId="2" borderId="9" xfId="0" quotePrefix="1" applyFill="1" applyBorder="1"/>
    <xf numFmtId="0" fontId="0" fillId="2" borderId="10" xfId="0" applyFill="1" applyBorder="1"/>
    <xf numFmtId="0" fontId="0" fillId="2" borderId="11" xfId="0" applyFill="1" applyBorder="1"/>
    <xf numFmtId="0" fontId="6" fillId="0" borderId="9" xfId="0" applyFont="1" applyBorder="1" applyAlignment="1">
      <alignment horizontal="center"/>
    </xf>
    <xf numFmtId="0" fontId="6" fillId="0" borderId="10" xfId="0" applyFont="1" applyBorder="1" applyAlignment="1">
      <alignment horizontal="center"/>
    </xf>
    <xf numFmtId="0" fontId="0" fillId="0" borderId="9" xfId="0" applyBorder="1"/>
    <xf numFmtId="0" fontId="0" fillId="0" borderId="10" xfId="0" applyBorder="1"/>
    <xf numFmtId="0" fontId="0" fillId="0" borderId="11" xfId="0" applyBorder="1"/>
    <xf numFmtId="0" fontId="2" fillId="2" borderId="10" xfId="0" applyFont="1" applyFill="1" applyBorder="1" applyAlignment="1">
      <alignment horizontal="center"/>
    </xf>
    <xf numFmtId="0" fontId="0" fillId="6" borderId="12" xfId="0" applyFill="1" applyBorder="1"/>
    <xf numFmtId="0" fontId="0" fillId="6" borderId="4" xfId="0" applyFill="1" applyBorder="1"/>
    <xf numFmtId="0" fontId="0" fillId="6" borderId="0" xfId="0" applyFill="1"/>
    <xf numFmtId="0" fontId="0" fillId="6" borderId="5" xfId="0" applyFill="1" applyBorder="1"/>
    <xf numFmtId="0" fontId="0" fillId="0" borderId="4" xfId="0" quotePrefix="1" applyBorder="1"/>
    <xf numFmtId="0" fontId="0" fillId="6" borderId="13" xfId="0" applyFill="1" applyBorder="1"/>
    <xf numFmtId="0" fontId="0" fillId="0" borderId="14" xfId="0" applyBorder="1"/>
    <xf numFmtId="0" fontId="0" fillId="2" borderId="14" xfId="0" applyFill="1" applyBorder="1"/>
    <xf numFmtId="0" fontId="7" fillId="3" borderId="4" xfId="1" applyFill="1" applyBorder="1"/>
    <xf numFmtId="0" fontId="0" fillId="0" borderId="7" xfId="0" applyBorder="1"/>
    <xf numFmtId="0" fontId="0" fillId="0" borderId="8" xfId="0" applyBorder="1"/>
    <xf numFmtId="0" fontId="0" fillId="0" borderId="6" xfId="0" applyBorder="1"/>
    <xf numFmtId="0" fontId="1" fillId="4" borderId="4" xfId="0" applyFont="1" applyFill="1" applyBorder="1" applyAlignment="1">
      <alignment horizontal="left"/>
    </xf>
    <xf numFmtId="0" fontId="1" fillId="4" borderId="0" xfId="0" applyFont="1" applyFill="1" applyAlignment="1">
      <alignment horizontal="left"/>
    </xf>
    <xf numFmtId="0" fontId="1" fillId="4" borderId="4" xfId="0" applyFont="1" applyFill="1" applyBorder="1"/>
    <xf numFmtId="0" fontId="1" fillId="4" borderId="0" xfId="0" applyFont="1" applyFill="1"/>
    <xf numFmtId="0" fontId="4" fillId="0" borderId="0" xfId="0" applyFont="1"/>
    <xf numFmtId="0" fontId="0" fillId="3" borderId="0" xfId="0" applyFill="1"/>
    <xf numFmtId="0" fontId="0" fillId="3" borderId="5" xfId="0" applyFill="1" applyBorder="1" applyAlignment="1">
      <alignment horizontal="right"/>
    </xf>
    <xf numFmtId="0" fontId="0" fillId="0" borderId="15" xfId="0" applyBorder="1"/>
    <xf numFmtId="0" fontId="0" fillId="3" borderId="1" xfId="0" applyFill="1" applyBorder="1"/>
    <xf numFmtId="0" fontId="0" fillId="0" borderId="1" xfId="0" applyBorder="1" applyAlignment="1">
      <alignment horizontal="right"/>
    </xf>
    <xf numFmtId="0" fontId="0" fillId="0" borderId="4" xfId="0" applyBorder="1" applyAlignment="1">
      <alignment horizontal="right"/>
    </xf>
    <xf numFmtId="0" fontId="0" fillId="9" borderId="2" xfId="0" applyFill="1" applyBorder="1"/>
    <xf numFmtId="0" fontId="0" fillId="9" borderId="0" xfId="0" applyFill="1"/>
    <xf numFmtId="0" fontId="0" fillId="3" borderId="0" xfId="0" applyFill="1" applyAlignment="1">
      <alignment horizontal="center"/>
    </xf>
    <xf numFmtId="0" fontId="0" fillId="0" borderId="7" xfId="0" applyBorder="1" applyAlignment="1">
      <alignment horizontal="center"/>
    </xf>
    <xf numFmtId="0" fontId="1" fillId="3" borderId="4" xfId="0" applyFont="1" applyFill="1" applyBorder="1" applyAlignment="1">
      <alignment horizontal="right" indent="1"/>
    </xf>
    <xf numFmtId="0" fontId="1" fillId="3" borderId="4" xfId="0" applyFont="1" applyFill="1" applyBorder="1" applyAlignment="1">
      <alignment horizontal="right" vertical="center" indent="1"/>
    </xf>
    <xf numFmtId="0" fontId="8" fillId="0" borderId="17" xfId="0" applyFont="1" applyBorder="1" applyAlignment="1">
      <alignment horizontal="left"/>
    </xf>
    <xf numFmtId="0" fontId="0" fillId="0" borderId="19" xfId="0" applyBorder="1"/>
    <xf numFmtId="0" fontId="0" fillId="0" borderId="21" xfId="0" applyBorder="1"/>
    <xf numFmtId="0" fontId="0" fillId="0" borderId="22" xfId="0" applyBorder="1"/>
    <xf numFmtId="0" fontId="0" fillId="0" borderId="23" xfId="0" applyBorder="1"/>
    <xf numFmtId="0" fontId="0" fillId="0" borderId="25" xfId="0" applyBorder="1"/>
    <xf numFmtId="0" fontId="8" fillId="0" borderId="28" xfId="0" applyFont="1" applyBorder="1" applyAlignment="1">
      <alignment horizontal="left" vertical="center"/>
    </xf>
    <xf numFmtId="0" fontId="8" fillId="0" borderId="29" xfId="0" applyFont="1" applyBorder="1" applyAlignment="1">
      <alignment horizontal="left" vertical="center"/>
    </xf>
    <xf numFmtId="0" fontId="0" fillId="0" borderId="29" xfId="0" applyBorder="1" applyAlignment="1">
      <alignment vertical="center"/>
    </xf>
    <xf numFmtId="0" fontId="8" fillId="0" borderId="30" xfId="0" applyFont="1" applyBorder="1" applyAlignment="1">
      <alignment horizontal="left" vertical="center"/>
    </xf>
    <xf numFmtId="0" fontId="9" fillId="0" borderId="28" xfId="0" applyFont="1" applyBorder="1" applyAlignment="1">
      <alignment horizontal="left" wrapText="1"/>
    </xf>
    <xf numFmtId="0" fontId="8" fillId="0" borderId="29" xfId="0" applyFont="1" applyBorder="1" applyAlignment="1">
      <alignment horizontal="left" wrapText="1"/>
    </xf>
    <xf numFmtId="0" fontId="0" fillId="0" borderId="29" xfId="0" applyBorder="1" applyAlignment="1">
      <alignment wrapText="1"/>
    </xf>
    <xf numFmtId="0" fontId="8" fillId="0" borderId="30" xfId="0" applyFont="1" applyBorder="1" applyAlignment="1">
      <alignment horizontal="left" wrapText="1"/>
    </xf>
    <xf numFmtId="0" fontId="8" fillId="0" borderId="28" xfId="0" applyFont="1" applyBorder="1" applyAlignment="1">
      <alignment horizontal="left" wrapText="1"/>
    </xf>
    <xf numFmtId="0" fontId="7" fillId="0" borderId="28" xfId="1" applyBorder="1" applyAlignment="1">
      <alignment wrapText="1"/>
    </xf>
    <xf numFmtId="0" fontId="0" fillId="0" borderId="29" xfId="0" applyBorder="1" applyAlignment="1">
      <alignment horizontal="left" wrapText="1"/>
    </xf>
    <xf numFmtId="0" fontId="0" fillId="0" borderId="31" xfId="0" applyBorder="1" applyAlignment="1">
      <alignment horizontal="left" wrapText="1"/>
    </xf>
    <xf numFmtId="0" fontId="11" fillId="0" borderId="29" xfId="0" applyFont="1" applyBorder="1" applyAlignment="1">
      <alignment horizontal="left" wrapText="1"/>
    </xf>
    <xf numFmtId="0" fontId="11" fillId="0" borderId="29" xfId="0" applyFont="1" applyBorder="1" applyAlignment="1">
      <alignment horizontal="left" vertical="center"/>
    </xf>
    <xf numFmtId="0" fontId="10" fillId="9" borderId="0" xfId="0" applyFont="1" applyFill="1" applyAlignment="1">
      <alignment horizontal="center"/>
    </xf>
    <xf numFmtId="14" fontId="0" fillId="0" borderId="19" xfId="0" applyNumberFormat="1" applyBorder="1"/>
    <xf numFmtId="0" fontId="0" fillId="0" borderId="0" xfId="0" applyAlignment="1">
      <alignment horizontal="center"/>
    </xf>
    <xf numFmtId="0" fontId="0" fillId="0" borderId="17" xfId="0" applyBorder="1" applyAlignment="1">
      <alignment horizontal="left" vertical="center"/>
    </xf>
    <xf numFmtId="0" fontId="0" fillId="0" borderId="17" xfId="0" applyBorder="1"/>
    <xf numFmtId="0" fontId="0" fillId="0" borderId="22" xfId="0" applyBorder="1"/>
    <xf numFmtId="0" fontId="0" fillId="0" borderId="17" xfId="0" applyBorder="1" applyAlignment="1">
      <alignment horizontal="left" wrapText="1"/>
    </xf>
    <xf numFmtId="0" fontId="0" fillId="0" borderId="18" xfId="0" applyBorder="1" applyAlignment="1">
      <alignment horizontal="left" wrapText="1"/>
    </xf>
    <xf numFmtId="0" fontId="0" fillId="0" borderId="26" xfId="0" applyBorder="1" applyAlignment="1">
      <alignment horizontal="left" wrapText="1"/>
    </xf>
    <xf numFmtId="0" fontId="0" fillId="0" borderId="16" xfId="0" applyBorder="1" applyAlignment="1">
      <alignment horizontal="left" wrapText="1"/>
    </xf>
    <xf numFmtId="0" fontId="0" fillId="0" borderId="18" xfId="0" applyBorder="1"/>
    <xf numFmtId="0" fontId="0" fillId="0" borderId="24" xfId="0" applyBorder="1"/>
    <xf numFmtId="0" fontId="0" fillId="0" borderId="17" xfId="0" applyBorder="1" applyAlignment="1">
      <alignment horizontal="left"/>
    </xf>
    <xf numFmtId="0" fontId="0" fillId="0" borderId="16" xfId="0" applyBorder="1" applyAlignment="1">
      <alignment horizontal="left"/>
    </xf>
    <xf numFmtId="0" fontId="0" fillId="0" borderId="18" xfId="0" applyBorder="1" applyAlignment="1">
      <alignment horizontal="left" vertical="center"/>
    </xf>
    <xf numFmtId="0" fontId="5" fillId="0" borderId="0" xfId="0" applyFont="1" applyAlignment="1">
      <alignment horizontal="center"/>
    </xf>
    <xf numFmtId="0" fontId="5" fillId="0" borderId="7" xfId="0" applyFont="1" applyBorder="1" applyAlignment="1">
      <alignment horizontal="center"/>
    </xf>
    <xf numFmtId="0" fontId="10" fillId="8" borderId="4" xfId="0" applyFont="1" applyFill="1" applyBorder="1" applyAlignment="1">
      <alignment horizontal="center"/>
    </xf>
    <xf numFmtId="0" fontId="10" fillId="8" borderId="0" xfId="0" applyFont="1" applyFill="1" applyAlignment="1">
      <alignment horizontal="center"/>
    </xf>
    <xf numFmtId="0" fontId="10" fillId="8" borderId="5" xfId="0" applyFont="1" applyFill="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0" fillId="0" borderId="1"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6" fillId="5" borderId="10" xfId="0" applyFont="1" applyFill="1" applyBorder="1" applyAlignment="1">
      <alignment horizontal="center"/>
    </xf>
    <xf numFmtId="0" fontId="6" fillId="5" borderId="11" xfId="0" applyFont="1" applyFill="1" applyBorder="1" applyAlignment="1">
      <alignment horizontal="center"/>
    </xf>
    <xf numFmtId="0" fontId="0" fillId="0" borderId="0" xfId="0"/>
    <xf numFmtId="0" fontId="2" fillId="2" borderId="9" xfId="0" applyFont="1" applyFill="1" applyBorder="1" applyAlignment="1">
      <alignment horizontal="center"/>
    </xf>
    <xf numFmtId="0" fontId="2" fillId="2" borderId="10" xfId="0" applyFont="1" applyFill="1" applyBorder="1" applyAlignment="1">
      <alignment horizontal="center"/>
    </xf>
    <xf numFmtId="0" fontId="0" fillId="0" borderId="16" xfId="0" applyBorder="1" applyAlignment="1">
      <alignment horizontal="left" vertical="center"/>
    </xf>
    <xf numFmtId="0" fontId="6" fillId="0" borderId="10" xfId="0" applyFont="1" applyBorder="1" applyAlignment="1">
      <alignment horizontal="center" wrapText="1"/>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0" fillId="6" borderId="2" xfId="0" applyFill="1" applyBorder="1"/>
    <xf numFmtId="0" fontId="0" fillId="6" borderId="3" xfId="0" applyFill="1" applyBorder="1"/>
    <xf numFmtId="0" fontId="0" fillId="6" borderId="0" xfId="0" applyFill="1"/>
    <xf numFmtId="0" fontId="0" fillId="6" borderId="5" xfId="0" applyFill="1" applyBorder="1"/>
    <xf numFmtId="0" fontId="0" fillId="0" borderId="16" xfId="0" applyBorder="1"/>
    <xf numFmtId="0" fontId="0" fillId="0" borderId="20" xfId="0" applyBorder="1"/>
    <xf numFmtId="0" fontId="0" fillId="7" borderId="17" xfId="0" applyFill="1" applyBorder="1"/>
    <xf numFmtId="0" fontId="0" fillId="7" borderId="22" xfId="0" applyFill="1" applyBorder="1"/>
    <xf numFmtId="0" fontId="1" fillId="0" borderId="0" xfId="0" applyFont="1" applyAlignment="1">
      <alignment horizontal="center"/>
    </xf>
    <xf numFmtId="0" fontId="0" fillId="0" borderId="26" xfId="0" applyBorder="1"/>
    <xf numFmtId="0" fontId="0" fillId="0" borderId="27" xfId="0" applyBorder="1"/>
    <xf numFmtId="0" fontId="0" fillId="0" borderId="18" xfId="0" applyBorder="1" applyAlignment="1">
      <alignment horizontal="left"/>
    </xf>
    <xf numFmtId="0" fontId="1" fillId="0" borderId="2" xfId="0" applyFont="1" applyBorder="1" applyAlignment="1">
      <alignment horizontal="center"/>
    </xf>
  </cellXfs>
  <cellStyles count="2">
    <cellStyle name="Hyperlink" xfId="1" builtinId="8"/>
    <cellStyle name="Normal" xfId="0" builtinId="0"/>
  </cellStyles>
  <dxfs count="22">
    <dxf>
      <font>
        <color theme="0" tint="-0.14996795556505021"/>
      </font>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5</xdr:row>
      <xdr:rowOff>76200</xdr:rowOff>
    </xdr:from>
    <xdr:to>
      <xdr:col>2</xdr:col>
      <xdr:colOff>1584325</xdr:colOff>
      <xdr:row>12</xdr:row>
      <xdr:rowOff>133350</xdr:rowOff>
    </xdr:to>
    <xdr:pic>
      <xdr:nvPicPr>
        <xdr:cNvPr id="3" name="Graphic 2">
          <a:extLst>
            <a:ext uri="{FF2B5EF4-FFF2-40B4-BE49-F238E27FC236}">
              <a16:creationId xmlns:a16="http://schemas.microsoft.com/office/drawing/2014/main" id="{03E53FC2-36AC-4296-8A8C-644340D015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76250" y="1466850"/>
          <a:ext cx="1393825" cy="1390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x:/r/sites/o365gpnocglidersgroup/Shared%20Documents/SOPs/Slocum/SOPs/Piloting/SLC-CL-PLT05%20Pilot%20log%20checklist.xlsx?d=w043fe74f44794ea8b24f9d686804a6ca&amp;csf=1&amp;web=1&amp;e=PXWlzn" TargetMode="External"/><Relationship Id="rId1" Type="http://schemas.openxmlformats.org/officeDocument/2006/relationships/hyperlink" Target="Glider%20Drive%20Calculator.xls"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BD57-9B56-4411-8696-D1D1F6E9898A}">
  <sheetPr codeName="Sheet1"/>
  <dimension ref="C1:Z189"/>
  <sheetViews>
    <sheetView showGridLines="0" tabSelected="1" zoomScaleNormal="100" workbookViewId="0">
      <pane ySplit="1" topLeftCell="A2" activePane="bottomLeft" state="frozen"/>
      <selection pane="bottomLeft" activeCell="D103" sqref="D103"/>
    </sheetView>
  </sheetViews>
  <sheetFormatPr defaultRowHeight="15" outlineLevelRow="1" x14ac:dyDescent="0.25"/>
  <cols>
    <col min="1" max="1" width="3" customWidth="1"/>
    <col min="2" max="2" width="1.28515625" customWidth="1"/>
    <col min="3" max="3" width="26.42578125" customWidth="1"/>
    <col min="4" max="6" width="44" customWidth="1"/>
    <col min="7" max="7" width="8.28515625" style="1" customWidth="1"/>
    <col min="8" max="8" width="10.28515625" style="2" customWidth="1"/>
    <col min="9" max="9" width="8.28515625" style="1" hidden="1" customWidth="1"/>
    <col min="10" max="10" width="10.28515625" style="2" hidden="1" customWidth="1"/>
    <col min="11" max="11" width="8.28515625" style="1" hidden="1" customWidth="1"/>
    <col min="12" max="12" width="10.28515625" style="2" hidden="1" customWidth="1"/>
    <col min="13" max="13" width="8.28515625" style="1" hidden="1" customWidth="1"/>
    <col min="14" max="14" width="10.28515625" style="2" hidden="1" customWidth="1"/>
    <col min="15" max="15" width="8.28515625" style="1" hidden="1" customWidth="1"/>
    <col min="16" max="16" width="10.28515625" style="2" hidden="1" customWidth="1"/>
    <col min="17" max="17" width="11.85546875" customWidth="1"/>
    <col min="22" max="22" width="106.140625" customWidth="1"/>
    <col min="23" max="26" width="13.7109375" hidden="1" customWidth="1"/>
  </cols>
  <sheetData>
    <row r="1" spans="3:26" ht="48" customHeight="1" x14ac:dyDescent="0.3">
      <c r="C1" s="23" t="s">
        <v>0</v>
      </c>
      <c r="D1" s="98" t="s">
        <v>1</v>
      </c>
      <c r="E1" s="98"/>
      <c r="F1" s="24" t="s">
        <v>2</v>
      </c>
      <c r="G1" s="109" t="str">
        <f>IF(glider1="input glider name","no glider name input",IF(glider1=" ","hide columns",glider1))</f>
        <v>unit_1104</v>
      </c>
      <c r="H1" s="109"/>
      <c r="I1" s="109" t="str">
        <f>IF(glider2="input glider name","no glider name input",IF(glider2="na","hide columns",glider2))</f>
        <v>hide columns</v>
      </c>
      <c r="J1" s="109"/>
      <c r="K1" s="109" t="str">
        <f>IF(glider3="input glider name","no glider name input",IF(glider3="na","hide columns",glider3))</f>
        <v>hide columns</v>
      </c>
      <c r="L1" s="109"/>
      <c r="M1" s="109" t="str">
        <f>IF(glider4="input glider name","no glider name input",IF(glider4="na","hide columns",glider4))</f>
        <v>hide columns</v>
      </c>
      <c r="N1" s="109"/>
      <c r="O1" s="109" t="str">
        <f>IF(glider5="input glider name","no glider name input",IF(glider5="na","hide columns",glider5))</f>
        <v>hide columns</v>
      </c>
      <c r="P1" s="109"/>
      <c r="Q1" s="24" t="s">
        <v>3</v>
      </c>
      <c r="R1" s="98" t="s">
        <v>4</v>
      </c>
      <c r="S1" s="98"/>
      <c r="T1" s="98"/>
      <c r="U1" s="98"/>
      <c r="V1" s="99"/>
      <c r="W1" s="25" t="s">
        <v>5</v>
      </c>
      <c r="X1" s="26" t="s">
        <v>5</v>
      </c>
      <c r="Y1" s="26" t="s">
        <v>5</v>
      </c>
      <c r="Z1" s="27" t="s">
        <v>5</v>
      </c>
    </row>
    <row r="3" spans="3:26" ht="15" customHeight="1" x14ac:dyDescent="0.3">
      <c r="C3" s="93" t="s">
        <v>6</v>
      </c>
      <c r="D3" s="93"/>
      <c r="E3" s="93"/>
      <c r="F3" s="93"/>
      <c r="G3" s="45"/>
      <c r="H3" s="45"/>
      <c r="I3" s="45"/>
      <c r="J3" s="45"/>
      <c r="K3" s="45"/>
      <c r="L3" s="45"/>
      <c r="M3" s="45"/>
      <c r="N3" s="45"/>
      <c r="O3" s="45"/>
      <c r="P3" s="45"/>
      <c r="Q3" s="45"/>
      <c r="R3" s="45"/>
      <c r="S3" s="45"/>
      <c r="T3" s="45"/>
    </row>
    <row r="4" spans="3:26" ht="15.75" customHeight="1" thickBot="1" x14ac:dyDescent="0.35">
      <c r="C4" s="94"/>
      <c r="D4" s="94"/>
      <c r="E4" s="94"/>
      <c r="F4" s="94"/>
      <c r="G4" s="45"/>
      <c r="H4" s="45"/>
      <c r="I4" s="45"/>
      <c r="J4" s="45"/>
      <c r="K4" s="45"/>
      <c r="L4" s="45"/>
      <c r="M4" s="45"/>
      <c r="N4" s="45"/>
      <c r="O4" s="45"/>
      <c r="P4" s="45"/>
      <c r="Q4" s="45"/>
      <c r="R4" s="45"/>
      <c r="S4" s="45"/>
      <c r="T4" s="45"/>
    </row>
    <row r="5" spans="3:26" ht="15.75" thickBot="1" x14ac:dyDescent="0.3"/>
    <row r="6" spans="3:26" x14ac:dyDescent="0.25">
      <c r="C6" s="100"/>
      <c r="D6" s="50" t="s">
        <v>7</v>
      </c>
      <c r="E6" s="52"/>
      <c r="F6" s="13"/>
      <c r="G6"/>
      <c r="H6"/>
      <c r="I6"/>
      <c r="J6"/>
      <c r="K6"/>
      <c r="L6"/>
      <c r="M6"/>
      <c r="N6"/>
      <c r="O6"/>
      <c r="P6"/>
    </row>
    <row r="7" spans="3:26" x14ac:dyDescent="0.25">
      <c r="C7" s="101"/>
      <c r="D7" s="51" t="s">
        <v>8</v>
      </c>
      <c r="E7" s="53"/>
      <c r="F7" s="9"/>
      <c r="G7" s="105"/>
      <c r="H7" s="105"/>
      <c r="I7" s="105"/>
      <c r="J7"/>
      <c r="K7"/>
      <c r="L7"/>
      <c r="M7"/>
      <c r="N7"/>
      <c r="O7"/>
      <c r="P7"/>
    </row>
    <row r="8" spans="3:26" x14ac:dyDescent="0.25">
      <c r="C8" s="101"/>
      <c r="D8" s="51" t="s">
        <v>9</v>
      </c>
      <c r="E8" s="53"/>
      <c r="F8" s="9"/>
      <c r="G8" s="105"/>
      <c r="H8" s="105"/>
      <c r="I8" s="105"/>
      <c r="J8"/>
      <c r="K8"/>
      <c r="L8"/>
      <c r="M8"/>
      <c r="N8"/>
      <c r="O8"/>
      <c r="P8"/>
    </row>
    <row r="9" spans="3:26" x14ac:dyDescent="0.25">
      <c r="C9" s="101"/>
      <c r="D9" s="3"/>
      <c r="E9" s="46"/>
      <c r="F9" s="9"/>
      <c r="G9" s="105"/>
      <c r="H9" s="105"/>
      <c r="I9" s="105"/>
      <c r="J9"/>
      <c r="K9"/>
      <c r="L9"/>
      <c r="M9"/>
      <c r="N9"/>
      <c r="O9"/>
      <c r="P9"/>
    </row>
    <row r="10" spans="3:26" x14ac:dyDescent="0.25">
      <c r="C10" s="101"/>
      <c r="D10" s="3"/>
      <c r="E10" s="46"/>
      <c r="F10" s="9"/>
      <c r="G10" s="105"/>
      <c r="H10" s="105"/>
      <c r="I10" s="105"/>
      <c r="J10"/>
      <c r="K10"/>
      <c r="L10"/>
      <c r="M10"/>
      <c r="N10"/>
      <c r="O10"/>
      <c r="P10"/>
    </row>
    <row r="11" spans="3:26" x14ac:dyDescent="0.25">
      <c r="C11" s="101"/>
      <c r="D11" s="3"/>
      <c r="E11" s="46"/>
      <c r="F11" s="9"/>
      <c r="G11" s="105"/>
      <c r="H11" s="105"/>
      <c r="I11" s="105"/>
      <c r="J11"/>
      <c r="K11"/>
      <c r="L11"/>
      <c r="M11"/>
      <c r="N11"/>
      <c r="O11"/>
      <c r="P11"/>
    </row>
    <row r="12" spans="3:26" x14ac:dyDescent="0.25">
      <c r="C12" s="101"/>
      <c r="D12" s="3"/>
      <c r="E12" s="46"/>
      <c r="F12" s="9"/>
      <c r="G12" s="105"/>
      <c r="H12" s="105"/>
      <c r="I12" s="105"/>
      <c r="J12"/>
      <c r="K12"/>
      <c r="L12"/>
      <c r="M12"/>
      <c r="N12"/>
      <c r="O12"/>
      <c r="P12"/>
    </row>
    <row r="13" spans="3:26" ht="15.75" thickBot="1" x14ac:dyDescent="0.3">
      <c r="C13" s="102"/>
      <c r="D13" s="6"/>
      <c r="E13" s="10"/>
      <c r="F13" s="11"/>
      <c r="G13"/>
      <c r="H13"/>
      <c r="I13"/>
      <c r="J13"/>
      <c r="K13"/>
      <c r="L13"/>
      <c r="M13"/>
      <c r="N13"/>
      <c r="O13"/>
      <c r="P13"/>
    </row>
    <row r="14" spans="3:26" ht="15.75" thickBot="1" x14ac:dyDescent="0.3">
      <c r="G14"/>
      <c r="H14"/>
      <c r="I14"/>
      <c r="J14"/>
      <c r="K14"/>
      <c r="L14"/>
      <c r="M14"/>
      <c r="N14"/>
      <c r="O14"/>
      <c r="P14"/>
    </row>
    <row r="15" spans="3:26" x14ac:dyDescent="0.25">
      <c r="C15" s="49"/>
      <c r="D15" s="48" t="s">
        <v>10</v>
      </c>
      <c r="E15" s="12"/>
      <c r="F15" s="13"/>
      <c r="G15"/>
      <c r="H15"/>
      <c r="I15"/>
      <c r="J15"/>
      <c r="K15"/>
      <c r="L15"/>
      <c r="M15"/>
      <c r="N15"/>
      <c r="O15"/>
      <c r="P15"/>
    </row>
    <row r="16" spans="3:26" x14ac:dyDescent="0.25">
      <c r="C16" s="3"/>
      <c r="D16" s="46"/>
      <c r="E16" s="46"/>
      <c r="F16" s="9"/>
      <c r="G16"/>
      <c r="H16"/>
      <c r="I16"/>
      <c r="J16"/>
      <c r="K16"/>
      <c r="L16"/>
      <c r="M16"/>
      <c r="N16"/>
      <c r="O16"/>
      <c r="P16"/>
    </row>
    <row r="17" spans="3:26" x14ac:dyDescent="0.25">
      <c r="C17" s="3"/>
      <c r="D17" s="46"/>
      <c r="E17" s="46"/>
      <c r="F17" s="47"/>
      <c r="G17" s="105"/>
      <c r="H17" s="105"/>
      <c r="I17"/>
      <c r="J17"/>
      <c r="K17"/>
      <c r="L17"/>
      <c r="M17"/>
      <c r="N17"/>
      <c r="O17"/>
      <c r="P17"/>
    </row>
    <row r="18" spans="3:26" ht="18.75" x14ac:dyDescent="0.3">
      <c r="C18" s="95" t="s">
        <v>11</v>
      </c>
      <c r="D18" s="96"/>
      <c r="E18" s="96"/>
      <c r="F18" s="97"/>
      <c r="G18" s="105"/>
      <c r="H18" s="105"/>
      <c r="I18"/>
      <c r="J18"/>
      <c r="K18"/>
      <c r="L18"/>
      <c r="M18"/>
      <c r="N18"/>
      <c r="O18"/>
      <c r="P18"/>
    </row>
    <row r="19" spans="3:26" ht="18.75" x14ac:dyDescent="0.3">
      <c r="C19" s="56" t="s">
        <v>12</v>
      </c>
      <c r="D19" s="78">
        <v>1</v>
      </c>
      <c r="E19" s="46"/>
      <c r="F19" s="47"/>
      <c r="G19" s="105"/>
      <c r="H19" s="105"/>
      <c r="I19"/>
      <c r="J19"/>
      <c r="K19"/>
      <c r="L19"/>
      <c r="M19"/>
      <c r="N19"/>
      <c r="O19"/>
      <c r="P19"/>
    </row>
    <row r="20" spans="3:26" ht="15.75" thickBot="1" x14ac:dyDescent="0.3">
      <c r="C20" s="3"/>
      <c r="D20" s="55" t="s">
        <v>13</v>
      </c>
      <c r="E20" s="55" t="s">
        <v>14</v>
      </c>
      <c r="F20" s="47"/>
      <c r="G20" s="105"/>
      <c r="H20" s="105"/>
      <c r="I20"/>
      <c r="J20"/>
      <c r="K20"/>
      <c r="L20"/>
      <c r="M20"/>
      <c r="N20"/>
      <c r="O20"/>
      <c r="P20"/>
    </row>
    <row r="21" spans="3:26" x14ac:dyDescent="0.25">
      <c r="C21" s="57" t="s">
        <v>15</v>
      </c>
      <c r="D21" s="54" t="s">
        <v>137</v>
      </c>
      <c r="E21" s="54" t="s">
        <v>16</v>
      </c>
      <c r="F21" s="47"/>
      <c r="G21" s="105"/>
      <c r="H21" s="105"/>
      <c r="I21"/>
      <c r="J21"/>
      <c r="K21"/>
      <c r="L21"/>
      <c r="M21"/>
      <c r="N21"/>
      <c r="O21"/>
      <c r="P21"/>
    </row>
    <row r="22" spans="3:26" x14ac:dyDescent="0.25">
      <c r="C22" s="57" t="str">
        <f>IF(num_gliders&gt;=2,"Glider Name 2:"," ")</f>
        <v xml:space="preserve"> </v>
      </c>
      <c r="D22" s="54" t="str">
        <f>IF(num_gliders&gt;=2,"Input Glider Name","na")</f>
        <v>na</v>
      </c>
      <c r="E22" s="54" t="str">
        <f>IF(glider2="na","na","MR?")</f>
        <v>na</v>
      </c>
      <c r="F22" s="9"/>
      <c r="G22" s="105"/>
      <c r="H22" s="105"/>
      <c r="I22"/>
      <c r="J22"/>
      <c r="K22"/>
      <c r="L22"/>
      <c r="M22"/>
      <c r="N22"/>
      <c r="O22"/>
      <c r="P22"/>
    </row>
    <row r="23" spans="3:26" x14ac:dyDescent="0.25">
      <c r="C23" s="57" t="str">
        <f>IF(num_gliders&gt;=3,"Glider Name 3:", " ")</f>
        <v xml:space="preserve"> </v>
      </c>
      <c r="D23" s="54" t="str">
        <f>IF(num_gliders&gt;=3,"Input Glider Name","na")</f>
        <v>na</v>
      </c>
      <c r="E23" s="54" t="str">
        <f>IF(glider3="na","na","MR?")</f>
        <v>na</v>
      </c>
      <c r="F23" s="9"/>
      <c r="G23" s="105"/>
      <c r="H23" s="105"/>
      <c r="I23"/>
      <c r="J23"/>
      <c r="K23"/>
      <c r="L23"/>
      <c r="M23"/>
      <c r="N23"/>
      <c r="O23"/>
      <c r="P23"/>
    </row>
    <row r="24" spans="3:26" x14ac:dyDescent="0.25">
      <c r="C24" s="57" t="str">
        <f>IF(num_gliders&gt;=4,"Glider Name 3:", " ")</f>
        <v xml:space="preserve"> </v>
      </c>
      <c r="D24" s="54" t="str">
        <f>IF(num_gliders&gt;=4,"Input Glider Name","na")</f>
        <v>na</v>
      </c>
      <c r="E24" s="54" t="str">
        <f>IF(glider4="na","na","MR?")</f>
        <v>na</v>
      </c>
      <c r="F24" s="9"/>
      <c r="G24" s="105"/>
      <c r="H24" s="105"/>
      <c r="I24"/>
      <c r="J24"/>
      <c r="K24"/>
      <c r="L24"/>
      <c r="M24"/>
      <c r="N24"/>
      <c r="O24"/>
      <c r="P24"/>
    </row>
    <row r="25" spans="3:26" x14ac:dyDescent="0.25">
      <c r="C25" s="57" t="str">
        <f>IF(num_gliders&gt;=5,"Glider Name 5:", " ")</f>
        <v xml:space="preserve"> </v>
      </c>
      <c r="D25" s="54" t="str">
        <f>IF(num_gliders&gt;=5,"Input Glider Name","na")</f>
        <v>na</v>
      </c>
      <c r="E25" s="54" t="str">
        <f>IF(glider5="na","na","MR?")</f>
        <v>na</v>
      </c>
      <c r="F25" s="9"/>
      <c r="G25"/>
      <c r="H25"/>
      <c r="I25"/>
      <c r="J25"/>
      <c r="K25"/>
      <c r="L25"/>
      <c r="M25"/>
      <c r="N25"/>
      <c r="O25"/>
      <c r="P25"/>
    </row>
    <row r="26" spans="3:26" x14ac:dyDescent="0.25">
      <c r="C26" s="3"/>
      <c r="D26" s="46"/>
      <c r="E26" s="46"/>
      <c r="F26" s="9"/>
      <c r="G26"/>
      <c r="H26"/>
      <c r="I26"/>
      <c r="J26"/>
      <c r="K26"/>
      <c r="L26"/>
      <c r="M26"/>
      <c r="N26"/>
      <c r="O26"/>
      <c r="P26"/>
    </row>
    <row r="27" spans="3:26" ht="15.75" thickBot="1" x14ac:dyDescent="0.3">
      <c r="C27" s="6"/>
      <c r="D27" s="10"/>
      <c r="E27" s="10"/>
      <c r="F27" s="11"/>
      <c r="G27"/>
      <c r="H27"/>
      <c r="I27"/>
      <c r="J27"/>
      <c r="K27"/>
      <c r="L27"/>
      <c r="M27"/>
      <c r="N27"/>
      <c r="O27"/>
      <c r="P27"/>
    </row>
    <row r="30" spans="3:26" ht="13.5" customHeight="1" x14ac:dyDescent="0.25"/>
    <row r="31" spans="3:26" ht="12" customHeight="1" thickBot="1" x14ac:dyDescent="0.3"/>
    <row r="32" spans="3:26" ht="48" customHeight="1" thickBot="1" x14ac:dyDescent="0.35">
      <c r="C32" s="14" t="s">
        <v>0</v>
      </c>
      <c r="D32" s="15" t="s">
        <v>17</v>
      </c>
      <c r="E32" s="15" t="s">
        <v>18</v>
      </c>
      <c r="F32" s="15" t="s">
        <v>2</v>
      </c>
      <c r="G32" s="16" t="s">
        <v>19</v>
      </c>
      <c r="H32" s="16" t="s">
        <v>20</v>
      </c>
      <c r="I32" s="16" t="s">
        <v>19</v>
      </c>
      <c r="J32" s="16" t="s">
        <v>20</v>
      </c>
      <c r="K32" s="16" t="s">
        <v>19</v>
      </c>
      <c r="L32" s="16" t="s">
        <v>20</v>
      </c>
      <c r="M32" s="16" t="s">
        <v>19</v>
      </c>
      <c r="N32" s="16" t="s">
        <v>20</v>
      </c>
      <c r="O32" s="16" t="s">
        <v>19</v>
      </c>
      <c r="P32" s="16" t="s">
        <v>20</v>
      </c>
      <c r="Q32" s="15" t="s">
        <v>3</v>
      </c>
      <c r="R32" s="103" t="s">
        <v>4</v>
      </c>
      <c r="S32" s="103"/>
      <c r="T32" s="103"/>
      <c r="U32" s="103"/>
      <c r="V32" s="104"/>
      <c r="W32" s="17" t="s">
        <v>5</v>
      </c>
      <c r="X32" s="18" t="s">
        <v>5</v>
      </c>
      <c r="Y32" s="18" t="s">
        <v>5</v>
      </c>
      <c r="Z32" s="19" t="s">
        <v>5</v>
      </c>
    </row>
    <row r="33" spans="3:26" ht="28.5" customHeight="1" thickBot="1" x14ac:dyDescent="0.4">
      <c r="C33" s="106" t="str">
        <f xml:space="preserve"> D15</f>
        <v>Deployment</v>
      </c>
      <c r="D33" s="107"/>
      <c r="E33" s="107"/>
      <c r="F33" s="28"/>
      <c r="G33" s="7" t="s">
        <v>21</v>
      </c>
      <c r="H33" s="7" t="str">
        <f>IF(G17&lt;&gt;"input glider name",IF(AND(G34="complete",G43="complete",G60="complete"), "Section Complete", "Section Incomplete"), "NA")</f>
        <v>Section Incomplete</v>
      </c>
      <c r="I33" s="7" t="s">
        <v>21</v>
      </c>
      <c r="J33" s="7" t="str">
        <f>IF(G18&lt;&gt;"input glider name",IF(AND(I34="complete",I43="complete",I60="complete"), "Section Complete", "Section Incomplete"), "NA")</f>
        <v>Section Complete</v>
      </c>
      <c r="K33" s="7" t="s">
        <v>21</v>
      </c>
      <c r="L33" s="7" t="str">
        <f>IF(G19&lt;&gt;"input glider name",IF(AND(K34="complete",K43="complete",K60="complete"), "Section Complete", "Section Incomplete"), "NA")</f>
        <v>Section Complete</v>
      </c>
      <c r="M33" s="7" t="s">
        <v>21</v>
      </c>
      <c r="N33" s="7" t="str">
        <f>IF(G20&lt;&gt;"input glider name",IF(AND(M34="complete",M43="complete",M60="complete"), "Section Complete", "Section Incomplete"), "NA")</f>
        <v>Section Complete</v>
      </c>
      <c r="O33" s="7" t="s">
        <v>21</v>
      </c>
      <c r="P33" s="7" t="str">
        <f>IF(G21&lt;&gt;"input glider name",IF(AND(O34="complete",O43="complete",O60="complete"), "Section Complete", "Section Incomplete"), "NA")</f>
        <v>Section Complete</v>
      </c>
      <c r="Q33" s="8" t="s">
        <v>3</v>
      </c>
      <c r="R33" s="110" t="s">
        <v>4</v>
      </c>
      <c r="S33" s="110"/>
      <c r="T33" s="110"/>
      <c r="U33" s="110"/>
      <c r="V33" s="111"/>
      <c r="W33" s="20"/>
      <c r="X33" s="21"/>
      <c r="Y33" s="21"/>
      <c r="Z33" s="22"/>
    </row>
    <row r="34" spans="3:26" ht="14.25" customHeight="1" outlineLevel="1" x14ac:dyDescent="0.25">
      <c r="C34" s="41" t="s">
        <v>22</v>
      </c>
      <c r="D34" s="42"/>
      <c r="E34" s="42"/>
      <c r="F34" s="42"/>
      <c r="G34" s="124" t="str">
        <f>IF(COUNTIF(G35:H42,"Y")+COUNTIF(G35:H42,"na")+COUNTIF(G35:H42,"n/a")=COUNTA(G35:H42), "Complete", "Incomplete")</f>
        <v>Incomplete</v>
      </c>
      <c r="H34" s="124"/>
      <c r="I34" s="124" t="str">
        <f>IF(COUNTIF(I35:J42,"Y")+COUNTIF(I35:J42,"na")+COUNTIF(I35:J42,"n/a")=COUNTA(I35:J42), "Complete", "Incomplete")</f>
        <v>Complete</v>
      </c>
      <c r="J34" s="124"/>
      <c r="K34" s="124" t="str">
        <f>IF(COUNTIF(K35:L42,"Y")+COUNTIF(K35:L42,"na")+COUNTIF(K35:L42,"n/a")=COUNTA(K35:L42), "Complete", "Incomplete")</f>
        <v>Complete</v>
      </c>
      <c r="L34" s="124"/>
      <c r="M34" s="124" t="str">
        <f>IF(COUNTIF(M35:N42,"Y")+COUNTIF(M35:N42,"na")+COUNTIF(M35:N42,"n/a")=COUNTA(M35:N42), "Complete", "Incomplete")</f>
        <v>Complete</v>
      </c>
      <c r="N34" s="124"/>
      <c r="O34" s="124" t="str">
        <f>IF(COUNTIF(O35:P42,"Y")+COUNTIF(O35:P42,"na")+COUNTIF(O35:P42,"n/a")=COUNTA(O35:P42), "Complete", "Incomplete")</f>
        <v>Complete</v>
      </c>
      <c r="P34" s="124"/>
      <c r="Q34" s="29"/>
      <c r="R34" s="112"/>
      <c r="S34" s="112"/>
      <c r="T34" s="112"/>
      <c r="U34" s="112"/>
      <c r="V34" s="113"/>
      <c r="W34" s="30"/>
      <c r="X34" s="31"/>
      <c r="Y34" s="31"/>
      <c r="Z34" s="32"/>
    </row>
    <row r="35" spans="3:26" outlineLevel="1" x14ac:dyDescent="0.25">
      <c r="C35" s="3"/>
      <c r="D35" s="108" t="s">
        <v>23</v>
      </c>
      <c r="E35" s="108"/>
      <c r="F35" s="64"/>
      <c r="G35" s="80" t="str">
        <f>IF(glider1="na","NA",IF(AND($C35="MR",OR(microrider1="no",microrider1="MR?")),"NA","N"))</f>
        <v>N</v>
      </c>
      <c r="H35" s="80"/>
      <c r="I35" s="80" t="str">
        <f t="shared" ref="I35:I42" si="0">IF(glider2="na","NA",IF(AND($C35="MR",OR(microrider2="no",microrider2="MR?")),"NA","N"))</f>
        <v>NA</v>
      </c>
      <c r="J35" s="80"/>
      <c r="K35" s="80" t="str">
        <f t="shared" ref="K35:K42" si="1">IF(glider3="na","NA",IF(AND($C35="MR",OR(microrider3="no",microrider3="MR?")),"NA","N"))</f>
        <v>NA</v>
      </c>
      <c r="L35" s="80"/>
      <c r="M35" s="80" t="str">
        <f t="shared" ref="M35:M42" si="2">IF(glider4="na","NA",IF(AND($C35="MR",OR(microrider4="no",microrider4="MR?")),"NA","N"))</f>
        <v>NA</v>
      </c>
      <c r="N35" s="80"/>
      <c r="O35" s="80" t="str">
        <f t="shared" ref="O35:O42" si="3">IF(glider5="na","NA",IF(AND($C35="MR",OR(microrider5="no",microrider5="MR?")),"NA","N"))</f>
        <v>NA</v>
      </c>
      <c r="P35" s="80"/>
      <c r="Q35" s="79"/>
      <c r="R35" s="117"/>
      <c r="S35" s="117"/>
      <c r="T35" s="117"/>
      <c r="U35" s="117"/>
      <c r="V35" s="117"/>
      <c r="W35" s="33" t="s">
        <v>24</v>
      </c>
      <c r="X35" t="s">
        <v>24</v>
      </c>
      <c r="Y35" t="s">
        <v>24</v>
      </c>
      <c r="Z35" s="5" t="s">
        <v>24</v>
      </c>
    </row>
    <row r="36" spans="3:26" outlineLevel="1" x14ac:dyDescent="0.25">
      <c r="C36" s="3"/>
      <c r="D36" s="81" t="s">
        <v>25</v>
      </c>
      <c r="E36" s="81"/>
      <c r="F36" s="65"/>
      <c r="G36" s="80" t="str">
        <f t="shared" ref="G36:G42" si="4">IF(glider1="na","NA",IF(AND(C36="MR",OR(microrider1="no",microrider1="MR?")),"NA","N"))</f>
        <v>N</v>
      </c>
      <c r="H36" s="80"/>
      <c r="I36" s="80" t="str">
        <f t="shared" si="0"/>
        <v>NA</v>
      </c>
      <c r="J36" s="80"/>
      <c r="K36" s="80" t="str">
        <f t="shared" si="1"/>
        <v>NA</v>
      </c>
      <c r="L36" s="80"/>
      <c r="M36" s="80" t="str">
        <f t="shared" si="2"/>
        <v>NA</v>
      </c>
      <c r="N36" s="80"/>
      <c r="O36" s="80" t="str">
        <f t="shared" si="3"/>
        <v>NA</v>
      </c>
      <c r="P36" s="80"/>
      <c r="Q36" s="60"/>
      <c r="R36" s="83"/>
      <c r="S36" s="83"/>
      <c r="T36" s="83"/>
      <c r="U36" s="83"/>
      <c r="V36" s="83"/>
      <c r="W36" s="4" t="s">
        <v>24</v>
      </c>
      <c r="X36" t="s">
        <v>24</v>
      </c>
      <c r="Y36" t="s">
        <v>24</v>
      </c>
      <c r="Z36" s="5" t="s">
        <v>24</v>
      </c>
    </row>
    <row r="37" spans="3:26" outlineLevel="1" x14ac:dyDescent="0.25">
      <c r="C37" s="3"/>
      <c r="D37" s="81" t="s">
        <v>26</v>
      </c>
      <c r="E37" s="81"/>
      <c r="F37" s="77" t="s">
        <v>27</v>
      </c>
      <c r="G37" s="80" t="str">
        <f t="shared" si="4"/>
        <v>N</v>
      </c>
      <c r="H37" s="80"/>
      <c r="I37" s="80" t="str">
        <f t="shared" si="0"/>
        <v>NA</v>
      </c>
      <c r="J37" s="80"/>
      <c r="K37" s="80" t="str">
        <f t="shared" si="1"/>
        <v>NA</v>
      </c>
      <c r="L37" s="80"/>
      <c r="M37" s="80" t="str">
        <f t="shared" si="2"/>
        <v>NA</v>
      </c>
      <c r="N37" s="80"/>
      <c r="O37" s="80" t="str">
        <f t="shared" si="3"/>
        <v>NA</v>
      </c>
      <c r="P37" s="80"/>
      <c r="Q37" s="60"/>
      <c r="R37" s="83"/>
      <c r="S37" s="83"/>
      <c r="T37" s="83"/>
      <c r="U37" s="83"/>
      <c r="V37" s="83"/>
      <c r="W37" s="4" t="s">
        <v>24</v>
      </c>
      <c r="X37" t="s">
        <v>24</v>
      </c>
      <c r="Y37" t="s">
        <v>24</v>
      </c>
      <c r="Z37" s="5" t="s">
        <v>24</v>
      </c>
    </row>
    <row r="38" spans="3:26" outlineLevel="1" x14ac:dyDescent="0.25">
      <c r="C38" s="3"/>
      <c r="D38" s="81" t="s">
        <v>28</v>
      </c>
      <c r="E38" s="81"/>
      <c r="F38" s="65"/>
      <c r="G38" s="80" t="str">
        <f t="shared" si="4"/>
        <v>N</v>
      </c>
      <c r="H38" s="80"/>
      <c r="I38" s="80" t="str">
        <f t="shared" si="0"/>
        <v>NA</v>
      </c>
      <c r="J38" s="80"/>
      <c r="K38" s="80" t="str">
        <f t="shared" si="1"/>
        <v>NA</v>
      </c>
      <c r="L38" s="80"/>
      <c r="M38" s="80" t="str">
        <f t="shared" si="2"/>
        <v>NA</v>
      </c>
      <c r="N38" s="80"/>
      <c r="O38" s="80" t="str">
        <f t="shared" si="3"/>
        <v>NA</v>
      </c>
      <c r="P38" s="80"/>
      <c r="Q38" s="60"/>
      <c r="R38" s="83"/>
      <c r="S38" s="83"/>
      <c r="T38" s="83"/>
      <c r="U38" s="83"/>
      <c r="V38" s="83"/>
      <c r="W38" s="4" t="s">
        <v>24</v>
      </c>
      <c r="X38" t="s">
        <v>24</v>
      </c>
      <c r="Y38" t="s">
        <v>24</v>
      </c>
      <c r="Z38" s="5" t="s">
        <v>24</v>
      </c>
    </row>
    <row r="39" spans="3:26" outlineLevel="1" x14ac:dyDescent="0.25">
      <c r="C39" s="3"/>
      <c r="D39" s="81" t="s">
        <v>29</v>
      </c>
      <c r="E39" s="81"/>
      <c r="F39" s="65"/>
      <c r="G39" s="80" t="str">
        <f t="shared" si="4"/>
        <v>N</v>
      </c>
      <c r="H39" s="80"/>
      <c r="I39" s="80" t="str">
        <f t="shared" si="0"/>
        <v>NA</v>
      </c>
      <c r="J39" s="80"/>
      <c r="K39" s="80" t="str">
        <f t="shared" si="1"/>
        <v>NA</v>
      </c>
      <c r="L39" s="80"/>
      <c r="M39" s="80" t="str">
        <f t="shared" si="2"/>
        <v>NA</v>
      </c>
      <c r="N39" s="80"/>
      <c r="O39" s="80" t="str">
        <f t="shared" si="3"/>
        <v>NA</v>
      </c>
      <c r="P39" s="80"/>
      <c r="Q39" s="60"/>
      <c r="R39" s="83"/>
      <c r="S39" s="83"/>
      <c r="T39" s="83"/>
      <c r="U39" s="83"/>
      <c r="V39" s="83"/>
      <c r="W39" s="4" t="s">
        <v>24</v>
      </c>
      <c r="X39" t="s">
        <v>24</v>
      </c>
      <c r="Y39" t="s">
        <v>24</v>
      </c>
      <c r="Z39" s="5" t="s">
        <v>24</v>
      </c>
    </row>
    <row r="40" spans="3:26" outlineLevel="1" x14ac:dyDescent="0.25">
      <c r="C40" s="3"/>
      <c r="D40" s="81" t="s">
        <v>30</v>
      </c>
      <c r="E40" s="81"/>
      <c r="F40" s="65"/>
      <c r="G40" s="80" t="str">
        <f t="shared" si="4"/>
        <v>N</v>
      </c>
      <c r="H40" s="80"/>
      <c r="I40" s="80" t="str">
        <f t="shared" si="0"/>
        <v>NA</v>
      </c>
      <c r="J40" s="80"/>
      <c r="K40" s="80" t="str">
        <f t="shared" si="1"/>
        <v>NA</v>
      </c>
      <c r="L40" s="80"/>
      <c r="M40" s="80" t="str">
        <f t="shared" si="2"/>
        <v>NA</v>
      </c>
      <c r="N40" s="80"/>
      <c r="O40" s="80" t="str">
        <f t="shared" si="3"/>
        <v>NA</v>
      </c>
      <c r="P40" s="80"/>
      <c r="Q40" s="60"/>
      <c r="R40" s="83"/>
      <c r="S40" s="83"/>
      <c r="T40" s="83"/>
      <c r="U40" s="83"/>
      <c r="V40" s="83"/>
      <c r="W40" s="4" t="s">
        <v>24</v>
      </c>
      <c r="X40" t="s">
        <v>24</v>
      </c>
      <c r="Y40" t="s">
        <v>24</v>
      </c>
      <c r="Z40" s="5" t="s">
        <v>24</v>
      </c>
    </row>
    <row r="41" spans="3:26" outlineLevel="1" x14ac:dyDescent="0.25">
      <c r="C41" s="3"/>
      <c r="D41" s="81" t="s">
        <v>31</v>
      </c>
      <c r="E41" s="81"/>
      <c r="F41" s="66"/>
      <c r="G41" s="80" t="str">
        <f t="shared" si="4"/>
        <v>N</v>
      </c>
      <c r="H41" s="80"/>
      <c r="I41" s="80" t="str">
        <f t="shared" si="0"/>
        <v>NA</v>
      </c>
      <c r="J41" s="80"/>
      <c r="K41" s="80" t="str">
        <f t="shared" si="1"/>
        <v>NA</v>
      </c>
      <c r="L41" s="80"/>
      <c r="M41" s="80" t="str">
        <f t="shared" si="2"/>
        <v>NA</v>
      </c>
      <c r="N41" s="80"/>
      <c r="O41" s="80" t="str">
        <f t="shared" si="3"/>
        <v>NA</v>
      </c>
      <c r="P41" s="80"/>
      <c r="Q41" s="60"/>
      <c r="R41" s="58" t="s">
        <v>32</v>
      </c>
      <c r="S41" s="61"/>
      <c r="T41" s="61"/>
      <c r="U41" s="61"/>
      <c r="V41" s="61"/>
      <c r="W41" s="4" t="s">
        <v>24</v>
      </c>
      <c r="X41" t="s">
        <v>24</v>
      </c>
      <c r="Y41" t="s">
        <v>24</v>
      </c>
      <c r="Z41" s="5" t="s">
        <v>24</v>
      </c>
    </row>
    <row r="42" spans="3:26" outlineLevel="1" x14ac:dyDescent="0.25">
      <c r="C42" s="3"/>
      <c r="D42" s="92"/>
      <c r="E42" s="92"/>
      <c r="F42" s="67"/>
      <c r="G42" s="80" t="str">
        <f t="shared" si="4"/>
        <v>N</v>
      </c>
      <c r="H42" s="80"/>
      <c r="I42" s="80" t="str">
        <f t="shared" si="0"/>
        <v>NA</v>
      </c>
      <c r="J42" s="80"/>
      <c r="K42" s="80" t="str">
        <f t="shared" si="1"/>
        <v>NA</v>
      </c>
      <c r="L42" s="80"/>
      <c r="M42" s="80" t="str">
        <f t="shared" si="2"/>
        <v>NA</v>
      </c>
      <c r="N42" s="80"/>
      <c r="O42" s="80" t="str">
        <f t="shared" si="3"/>
        <v>NA</v>
      </c>
      <c r="P42" s="80"/>
      <c r="Q42" s="62"/>
      <c r="R42" s="88"/>
      <c r="S42" s="88"/>
      <c r="T42" s="88"/>
      <c r="U42" s="88"/>
      <c r="V42" s="89"/>
      <c r="W42" s="4" t="s">
        <v>24</v>
      </c>
      <c r="X42" t="s">
        <v>24</v>
      </c>
      <c r="Y42" t="s">
        <v>24</v>
      </c>
      <c r="Z42" s="5" t="s">
        <v>24</v>
      </c>
    </row>
    <row r="43" spans="3:26" outlineLevel="1" x14ac:dyDescent="0.25">
      <c r="C43" s="41" t="s">
        <v>33</v>
      </c>
      <c r="D43" s="42"/>
      <c r="E43" s="42"/>
      <c r="F43" s="42"/>
      <c r="G43" s="120" t="str">
        <f>IF(COUNTIF(G44:H59,"Y")+COUNTIF(G44:H59,"na")+COUNTIF(G44:H59,"n/a")=COUNTA(G44:H59), "Complete", "Incomplete")</f>
        <v>Incomplete</v>
      </c>
      <c r="H43" s="120"/>
      <c r="I43" s="120" t="str">
        <f>IF(COUNTIF(I44:J59,"Y")+COUNTIF(I44:J59,"na")+COUNTIF(I44:J59,"n/a")=COUNTA(I44:J59), "Complete", "Incomplete")</f>
        <v>Complete</v>
      </c>
      <c r="J43" s="120"/>
      <c r="K43" s="120" t="str">
        <f>IF(COUNTIF(K44:L59,"Y")+COUNTIF(K44:L59,"na")+COUNTIF(K44:L59,"n/a")=COUNTA(K44:L59), "Complete", "Incomplete")</f>
        <v>Complete</v>
      </c>
      <c r="L43" s="120"/>
      <c r="M43" s="120" t="str">
        <f>IF(COUNTIF(M44:N59,"Y")+COUNTIF(M44:N59,"na")+COUNTIF(M44:N59,"n/a")=COUNTA(M44:N59), "Complete", "Incomplete")</f>
        <v>Complete</v>
      </c>
      <c r="N43" s="120"/>
      <c r="O43" s="120" t="str">
        <f>IF(COUNTIF(O44:P59,"Y")+COUNTIF(O44:P59,"na")+COUNTIF(O44:P59,"n/a")=COUNTA(O44:P59), "Complete", "Incomplete")</f>
        <v>Complete</v>
      </c>
      <c r="P43" s="120"/>
      <c r="Q43" s="34"/>
      <c r="R43" s="114"/>
      <c r="S43" s="114"/>
      <c r="T43" s="114"/>
      <c r="U43" s="114"/>
      <c r="V43" s="115"/>
      <c r="W43" s="30"/>
      <c r="X43" s="31"/>
      <c r="Y43" s="31"/>
      <c r="Z43" s="32"/>
    </row>
    <row r="44" spans="3:26" outlineLevel="1" x14ac:dyDescent="0.25">
      <c r="C44" s="3"/>
      <c r="D44" s="91" t="s">
        <v>34</v>
      </c>
      <c r="E44" s="91"/>
      <c r="F44" s="68" t="s">
        <v>35</v>
      </c>
      <c r="G44" s="80" t="str">
        <f>IF(glider1="na","NA",IF(AND(C44="MR",OR(microrider1="no",microrider1="MR?")),"NA","N"))</f>
        <v>N</v>
      </c>
      <c r="H44" s="80"/>
      <c r="I44" s="80" t="str">
        <f t="shared" ref="I44:I59" si="5">IF(glider2="na","NA",IF(AND($C44="MR",OR(microrider2="no",microrider2="MR?")),"NA","N"))</f>
        <v>NA</v>
      </c>
      <c r="J44" s="80"/>
      <c r="K44" s="80" t="str">
        <f t="shared" ref="K44:K59" si="6">IF(glider3="na","NA",IF(AND($C44="MR",OR(microrider3="no",microrider3="MR?")),"NA","N"))</f>
        <v>NA</v>
      </c>
      <c r="L44" s="80"/>
      <c r="M44" s="80" t="str">
        <f t="shared" ref="M44:M59" si="7">IF(glider4="na","NA",IF(AND($C44="MR",OR(microrider4="no",microrider4="MR?")),"NA","N"))</f>
        <v>NA</v>
      </c>
      <c r="N44" s="80"/>
      <c r="O44" s="80" t="str">
        <f t="shared" ref="O44:O59" si="8">IF(glider5="na","NA",IF(AND($C44="MR",OR(microrider5="no",microrider5="MR?")),"NA","N"))</f>
        <v>NA</v>
      </c>
      <c r="P44" s="80"/>
      <c r="Q44" s="59"/>
      <c r="R44" s="116"/>
      <c r="S44" s="116"/>
      <c r="T44" s="116"/>
      <c r="U44" s="116"/>
      <c r="V44" s="117"/>
      <c r="W44" s="4" t="s">
        <v>24</v>
      </c>
      <c r="X44" t="s">
        <v>24</v>
      </c>
      <c r="Y44" t="s">
        <v>24</v>
      </c>
      <c r="Z44" s="5" t="s">
        <v>24</v>
      </c>
    </row>
    <row r="45" spans="3:26" outlineLevel="1" x14ac:dyDescent="0.25">
      <c r="C45" s="3"/>
      <c r="D45" s="90" t="s">
        <v>36</v>
      </c>
      <c r="E45" s="90"/>
      <c r="F45" s="69" t="s">
        <v>37</v>
      </c>
      <c r="G45" s="80" t="s">
        <v>38</v>
      </c>
      <c r="H45" s="80"/>
      <c r="I45" s="80" t="str">
        <f t="shared" si="5"/>
        <v>NA</v>
      </c>
      <c r="J45" s="80"/>
      <c r="K45" s="80" t="str">
        <f t="shared" si="6"/>
        <v>NA</v>
      </c>
      <c r="L45" s="80"/>
      <c r="M45" s="80" t="str">
        <f t="shared" si="7"/>
        <v>NA</v>
      </c>
      <c r="N45" s="80"/>
      <c r="O45" s="80" t="str">
        <f t="shared" si="8"/>
        <v>NA</v>
      </c>
      <c r="P45" s="80"/>
      <c r="Q45" s="60"/>
      <c r="R45" s="82"/>
      <c r="S45" s="82"/>
      <c r="T45" s="82"/>
      <c r="U45" s="82"/>
      <c r="V45" s="83"/>
      <c r="W45" s="4" t="s">
        <v>24</v>
      </c>
      <c r="X45" t="s">
        <v>24</v>
      </c>
      <c r="Y45" t="s">
        <v>24</v>
      </c>
      <c r="Z45" s="5" t="s">
        <v>24</v>
      </c>
    </row>
    <row r="46" spans="3:26" outlineLevel="1" x14ac:dyDescent="0.25">
      <c r="C46" s="3"/>
      <c r="D46" s="90" t="s">
        <v>39</v>
      </c>
      <c r="E46" s="90"/>
      <c r="F46" s="69" t="s">
        <v>40</v>
      </c>
      <c r="G46" s="80" t="str">
        <f t="shared" ref="G46:G59" si="9">IF(glider1="na","NA",IF(AND(C46="MR",OR(microrider1="no",microrider1="MR?")),"NA","N"))</f>
        <v>N</v>
      </c>
      <c r="H46" s="80"/>
      <c r="I46" s="80" t="str">
        <f t="shared" si="5"/>
        <v>NA</v>
      </c>
      <c r="J46" s="80"/>
      <c r="K46" s="80" t="str">
        <f t="shared" si="6"/>
        <v>NA</v>
      </c>
      <c r="L46" s="80"/>
      <c r="M46" s="80" t="str">
        <f t="shared" si="7"/>
        <v>NA</v>
      </c>
      <c r="N46" s="80"/>
      <c r="O46" s="80" t="str">
        <f t="shared" si="8"/>
        <v>NA</v>
      </c>
      <c r="P46" s="80"/>
      <c r="Q46" s="60"/>
      <c r="R46" s="82"/>
      <c r="S46" s="82"/>
      <c r="T46" s="82"/>
      <c r="U46" s="82"/>
      <c r="V46" s="83"/>
      <c r="W46" s="4" t="s">
        <v>24</v>
      </c>
      <c r="X46" t="s">
        <v>24</v>
      </c>
      <c r="Y46" t="s">
        <v>24</v>
      </c>
      <c r="Z46" s="5" t="s">
        <v>24</v>
      </c>
    </row>
    <row r="47" spans="3:26" outlineLevel="1" x14ac:dyDescent="0.25">
      <c r="C47" s="3"/>
      <c r="D47" s="90" t="s">
        <v>41</v>
      </c>
      <c r="E47" s="90"/>
      <c r="F47" s="69" t="s">
        <v>42</v>
      </c>
      <c r="G47" s="80" t="str">
        <f t="shared" si="9"/>
        <v>N</v>
      </c>
      <c r="H47" s="80"/>
      <c r="I47" s="80" t="str">
        <f t="shared" si="5"/>
        <v>NA</v>
      </c>
      <c r="J47" s="80"/>
      <c r="K47" s="80" t="str">
        <f t="shared" si="6"/>
        <v>NA</v>
      </c>
      <c r="L47" s="80"/>
      <c r="M47" s="80" t="str">
        <f t="shared" si="7"/>
        <v>NA</v>
      </c>
      <c r="N47" s="80"/>
      <c r="O47" s="80" t="str">
        <f t="shared" si="8"/>
        <v>NA</v>
      </c>
      <c r="P47" s="80"/>
      <c r="Q47" s="60"/>
      <c r="R47" s="82"/>
      <c r="S47" s="82"/>
      <c r="T47" s="82"/>
      <c r="U47" s="82"/>
      <c r="V47" s="83"/>
      <c r="W47" s="4" t="s">
        <v>24</v>
      </c>
      <c r="X47" t="s">
        <v>24</v>
      </c>
      <c r="Y47" t="s">
        <v>24</v>
      </c>
      <c r="Z47" s="5" t="s">
        <v>24</v>
      </c>
    </row>
    <row r="48" spans="3:26" outlineLevel="1" x14ac:dyDescent="0.25">
      <c r="C48" s="3"/>
      <c r="D48" s="90" t="s">
        <v>43</v>
      </c>
      <c r="E48" s="90"/>
      <c r="F48" s="69" t="s">
        <v>44</v>
      </c>
      <c r="G48" s="80" t="str">
        <f t="shared" si="9"/>
        <v>N</v>
      </c>
      <c r="H48" s="80"/>
      <c r="I48" s="80" t="str">
        <f t="shared" si="5"/>
        <v>NA</v>
      </c>
      <c r="J48" s="80"/>
      <c r="K48" s="80" t="str">
        <f t="shared" si="6"/>
        <v>NA</v>
      </c>
      <c r="L48" s="80"/>
      <c r="M48" s="80" t="str">
        <f t="shared" si="7"/>
        <v>NA</v>
      </c>
      <c r="N48" s="80"/>
      <c r="O48" s="80" t="str">
        <f t="shared" si="8"/>
        <v>NA</v>
      </c>
      <c r="P48" s="80"/>
      <c r="Q48" s="60"/>
      <c r="R48" s="82"/>
      <c r="S48" s="82"/>
      <c r="T48" s="82"/>
      <c r="U48" s="82"/>
      <c r="V48" s="83"/>
      <c r="W48" s="4" t="s">
        <v>24</v>
      </c>
      <c r="X48" t="s">
        <v>24</v>
      </c>
      <c r="Y48" t="s">
        <v>24</v>
      </c>
      <c r="Z48" s="5" t="s">
        <v>24</v>
      </c>
    </row>
    <row r="49" spans="3:26" outlineLevel="1" x14ac:dyDescent="0.25">
      <c r="C49" s="3"/>
      <c r="D49" s="90" t="s">
        <v>45</v>
      </c>
      <c r="E49" s="90"/>
      <c r="F49" s="76" t="s">
        <v>46</v>
      </c>
      <c r="G49" s="80" t="str">
        <f t="shared" si="9"/>
        <v>N</v>
      </c>
      <c r="H49" s="80"/>
      <c r="I49" s="80" t="str">
        <f t="shared" si="5"/>
        <v>NA</v>
      </c>
      <c r="J49" s="80"/>
      <c r="K49" s="80" t="str">
        <f t="shared" si="6"/>
        <v>NA</v>
      </c>
      <c r="L49" s="80"/>
      <c r="M49" s="80" t="str">
        <f t="shared" si="7"/>
        <v>NA</v>
      </c>
      <c r="N49" s="80"/>
      <c r="O49" s="80" t="str">
        <f t="shared" si="8"/>
        <v>NA</v>
      </c>
      <c r="P49" s="80"/>
      <c r="Q49" s="60"/>
      <c r="R49" s="82"/>
      <c r="S49" s="82"/>
      <c r="T49" s="82"/>
      <c r="U49" s="82"/>
      <c r="V49" s="83"/>
      <c r="W49" s="4" t="s">
        <v>24</v>
      </c>
      <c r="X49" t="s">
        <v>24</v>
      </c>
      <c r="Y49" t="s">
        <v>24</v>
      </c>
      <c r="Z49" s="5" t="s">
        <v>24</v>
      </c>
    </row>
    <row r="50" spans="3:26" outlineLevel="1" x14ac:dyDescent="0.25">
      <c r="C50" s="3"/>
      <c r="D50" s="90" t="s">
        <v>47</v>
      </c>
      <c r="E50" s="90"/>
      <c r="F50" s="69" t="s">
        <v>48</v>
      </c>
      <c r="G50" s="80" t="str">
        <f t="shared" si="9"/>
        <v>N</v>
      </c>
      <c r="H50" s="80"/>
      <c r="I50" s="80" t="str">
        <f t="shared" si="5"/>
        <v>NA</v>
      </c>
      <c r="J50" s="80"/>
      <c r="K50" s="80" t="str">
        <f t="shared" si="6"/>
        <v>NA</v>
      </c>
      <c r="L50" s="80"/>
      <c r="M50" s="80" t="str">
        <f t="shared" si="7"/>
        <v>NA</v>
      </c>
      <c r="N50" s="80"/>
      <c r="O50" s="80" t="str">
        <f t="shared" si="8"/>
        <v>NA</v>
      </c>
      <c r="P50" s="80"/>
      <c r="Q50" s="60"/>
      <c r="R50" s="82"/>
      <c r="S50" s="82"/>
      <c r="T50" s="82"/>
      <c r="U50" s="82"/>
      <c r="V50" s="83"/>
      <c r="W50" s="4" t="s">
        <v>24</v>
      </c>
      <c r="X50" t="s">
        <v>24</v>
      </c>
      <c r="Y50" t="s">
        <v>24</v>
      </c>
      <c r="Z50" s="5" t="s">
        <v>24</v>
      </c>
    </row>
    <row r="51" spans="3:26" outlineLevel="1" x14ac:dyDescent="0.25">
      <c r="C51" s="3"/>
      <c r="D51" s="90" t="s">
        <v>49</v>
      </c>
      <c r="E51" s="90"/>
      <c r="F51" s="69" t="s">
        <v>50</v>
      </c>
      <c r="G51" s="80" t="str">
        <f t="shared" si="9"/>
        <v>N</v>
      </c>
      <c r="H51" s="80"/>
      <c r="I51" s="80" t="str">
        <f t="shared" si="5"/>
        <v>NA</v>
      </c>
      <c r="J51" s="80"/>
      <c r="K51" s="80" t="str">
        <f t="shared" si="6"/>
        <v>NA</v>
      </c>
      <c r="L51" s="80"/>
      <c r="M51" s="80" t="str">
        <f t="shared" si="7"/>
        <v>NA</v>
      </c>
      <c r="N51" s="80"/>
      <c r="O51" s="80" t="str">
        <f t="shared" si="8"/>
        <v>NA</v>
      </c>
      <c r="P51" s="80"/>
      <c r="Q51" s="60"/>
      <c r="R51" s="82"/>
      <c r="S51" s="82"/>
      <c r="T51" s="82"/>
      <c r="U51" s="82"/>
      <c r="V51" s="83"/>
      <c r="W51" s="4" t="s">
        <v>24</v>
      </c>
      <c r="X51" t="s">
        <v>24</v>
      </c>
      <c r="Y51" t="s">
        <v>24</v>
      </c>
      <c r="Z51" s="5" t="s">
        <v>24</v>
      </c>
    </row>
    <row r="52" spans="3:26" ht="34.5" customHeight="1" outlineLevel="1" x14ac:dyDescent="0.25">
      <c r="C52" s="3"/>
      <c r="D52" s="84" t="s">
        <v>51</v>
      </c>
      <c r="E52" s="84"/>
      <c r="F52" s="69" t="s">
        <v>52</v>
      </c>
      <c r="G52" s="80" t="str">
        <f t="shared" si="9"/>
        <v>N</v>
      </c>
      <c r="H52" s="80"/>
      <c r="I52" s="80" t="str">
        <f t="shared" si="5"/>
        <v>NA</v>
      </c>
      <c r="J52" s="80"/>
      <c r="K52" s="80" t="str">
        <f t="shared" si="6"/>
        <v>NA</v>
      </c>
      <c r="L52" s="80"/>
      <c r="M52" s="80" t="str">
        <f t="shared" si="7"/>
        <v>NA</v>
      </c>
      <c r="N52" s="80"/>
      <c r="O52" s="80" t="str">
        <f t="shared" si="8"/>
        <v>NA</v>
      </c>
      <c r="P52" s="80"/>
      <c r="Q52" s="60"/>
      <c r="R52" s="82"/>
      <c r="S52" s="82"/>
      <c r="T52" s="82"/>
      <c r="U52" s="82"/>
      <c r="V52" s="83"/>
      <c r="W52" s="4" t="s">
        <v>24</v>
      </c>
      <c r="X52" t="s">
        <v>24</v>
      </c>
      <c r="Y52" t="s">
        <v>24</v>
      </c>
      <c r="Z52" s="5" t="s">
        <v>24</v>
      </c>
    </row>
    <row r="53" spans="3:26" outlineLevel="1" x14ac:dyDescent="0.25">
      <c r="C53" s="3"/>
      <c r="D53" s="90" t="s">
        <v>53</v>
      </c>
      <c r="E53" s="90"/>
      <c r="F53" s="69" t="s">
        <v>54</v>
      </c>
      <c r="G53" s="80" t="str">
        <f t="shared" si="9"/>
        <v>N</v>
      </c>
      <c r="H53" s="80"/>
      <c r="I53" s="80" t="str">
        <f t="shared" si="5"/>
        <v>NA</v>
      </c>
      <c r="J53" s="80"/>
      <c r="K53" s="80" t="str">
        <f t="shared" si="6"/>
        <v>NA</v>
      </c>
      <c r="L53" s="80"/>
      <c r="M53" s="80" t="str">
        <f t="shared" si="7"/>
        <v>NA</v>
      </c>
      <c r="N53" s="80"/>
      <c r="O53" s="80" t="str">
        <f t="shared" si="8"/>
        <v>NA</v>
      </c>
      <c r="P53" s="80"/>
      <c r="Q53" s="60"/>
      <c r="R53" s="82"/>
      <c r="S53" s="82"/>
      <c r="T53" s="82"/>
      <c r="U53" s="82"/>
      <c r="V53" s="83"/>
      <c r="W53" s="4" t="s">
        <v>24</v>
      </c>
      <c r="X53" t="s">
        <v>24</v>
      </c>
      <c r="Y53" t="s">
        <v>24</v>
      </c>
      <c r="Z53" s="5" t="s">
        <v>24</v>
      </c>
    </row>
    <row r="54" spans="3:26" outlineLevel="1" x14ac:dyDescent="0.25">
      <c r="C54" s="3"/>
      <c r="D54" s="90" t="s">
        <v>55</v>
      </c>
      <c r="E54" s="90"/>
      <c r="F54" s="69" t="s">
        <v>56</v>
      </c>
      <c r="G54" s="80" t="str">
        <f t="shared" si="9"/>
        <v>N</v>
      </c>
      <c r="H54" s="80"/>
      <c r="I54" s="80" t="str">
        <f t="shared" si="5"/>
        <v>NA</v>
      </c>
      <c r="J54" s="80"/>
      <c r="K54" s="80" t="str">
        <f t="shared" si="6"/>
        <v>NA</v>
      </c>
      <c r="L54" s="80"/>
      <c r="M54" s="80" t="str">
        <f t="shared" si="7"/>
        <v>NA</v>
      </c>
      <c r="N54" s="80"/>
      <c r="O54" s="80" t="str">
        <f t="shared" si="8"/>
        <v>NA</v>
      </c>
      <c r="P54" s="80"/>
      <c r="Q54" s="60"/>
      <c r="R54" s="82"/>
      <c r="S54" s="82"/>
      <c r="T54" s="82"/>
      <c r="U54" s="82"/>
      <c r="V54" s="83"/>
      <c r="W54" s="4" t="s">
        <v>24</v>
      </c>
      <c r="X54" t="s">
        <v>24</v>
      </c>
      <c r="Y54" t="s">
        <v>24</v>
      </c>
      <c r="Z54" s="5" t="s">
        <v>24</v>
      </c>
    </row>
    <row r="55" spans="3:26" ht="30" outlineLevel="1" x14ac:dyDescent="0.25">
      <c r="C55" s="3"/>
      <c r="D55" s="90" t="s">
        <v>57</v>
      </c>
      <c r="E55" s="90"/>
      <c r="F55" s="76" t="s">
        <v>58</v>
      </c>
      <c r="G55" s="80" t="str">
        <f t="shared" si="9"/>
        <v>N</v>
      </c>
      <c r="H55" s="80"/>
      <c r="I55" s="80" t="str">
        <f t="shared" si="5"/>
        <v>NA</v>
      </c>
      <c r="J55" s="80"/>
      <c r="K55" s="80" t="str">
        <f t="shared" si="6"/>
        <v>NA</v>
      </c>
      <c r="L55" s="80"/>
      <c r="M55" s="80" t="str">
        <f t="shared" si="7"/>
        <v>NA</v>
      </c>
      <c r="N55" s="80"/>
      <c r="O55" s="80" t="str">
        <f t="shared" si="8"/>
        <v>NA</v>
      </c>
      <c r="P55" s="80"/>
      <c r="Q55" s="60"/>
      <c r="R55" s="82"/>
      <c r="S55" s="82"/>
      <c r="T55" s="82"/>
      <c r="U55" s="82"/>
      <c r="V55" s="83"/>
      <c r="W55" s="4" t="s">
        <v>24</v>
      </c>
      <c r="X55" t="s">
        <v>24</v>
      </c>
      <c r="Y55" t="s">
        <v>24</v>
      </c>
      <c r="Z55" s="5" t="s">
        <v>24</v>
      </c>
    </row>
    <row r="56" spans="3:26" outlineLevel="1" x14ac:dyDescent="0.25">
      <c r="C56" s="3"/>
      <c r="D56" s="90" t="s">
        <v>59</v>
      </c>
      <c r="E56" s="90"/>
      <c r="F56" s="76" t="s">
        <v>60</v>
      </c>
      <c r="G56" s="80" t="str">
        <f t="shared" si="9"/>
        <v>N</v>
      </c>
      <c r="H56" s="80"/>
      <c r="I56" s="80" t="str">
        <f t="shared" si="5"/>
        <v>NA</v>
      </c>
      <c r="J56" s="80"/>
      <c r="K56" s="80" t="str">
        <f t="shared" si="6"/>
        <v>NA</v>
      </c>
      <c r="L56" s="80"/>
      <c r="M56" s="80" t="str">
        <f t="shared" si="7"/>
        <v>NA</v>
      </c>
      <c r="N56" s="80"/>
      <c r="O56" s="80" t="str">
        <f t="shared" si="8"/>
        <v>NA</v>
      </c>
      <c r="P56" s="80"/>
      <c r="Q56" s="60"/>
      <c r="R56" s="82"/>
      <c r="S56" s="82"/>
      <c r="T56" s="82"/>
      <c r="U56" s="82"/>
      <c r="V56" s="83"/>
      <c r="W56" s="4" t="s">
        <v>24</v>
      </c>
      <c r="X56" t="s">
        <v>24</v>
      </c>
      <c r="Y56" t="s">
        <v>24</v>
      </c>
      <c r="Z56" s="5" t="s">
        <v>24</v>
      </c>
    </row>
    <row r="57" spans="3:26" outlineLevel="1" x14ac:dyDescent="0.25">
      <c r="C57" s="3"/>
      <c r="D57" s="90" t="s">
        <v>61</v>
      </c>
      <c r="E57" s="90"/>
      <c r="F57" s="69" t="s">
        <v>62</v>
      </c>
      <c r="G57" s="80" t="str">
        <f t="shared" si="9"/>
        <v>N</v>
      </c>
      <c r="H57" s="80"/>
      <c r="I57" s="80" t="str">
        <f t="shared" si="5"/>
        <v>NA</v>
      </c>
      <c r="J57" s="80"/>
      <c r="K57" s="80" t="str">
        <f t="shared" si="6"/>
        <v>NA</v>
      </c>
      <c r="L57" s="80"/>
      <c r="M57" s="80" t="str">
        <f t="shared" si="7"/>
        <v>NA</v>
      </c>
      <c r="N57" s="80"/>
      <c r="O57" s="80" t="str">
        <f t="shared" si="8"/>
        <v>NA</v>
      </c>
      <c r="P57" s="80"/>
      <c r="Q57" s="60"/>
      <c r="R57" s="82"/>
      <c r="S57" s="82"/>
      <c r="T57" s="82"/>
      <c r="U57" s="82"/>
      <c r="V57" s="83"/>
      <c r="W57" s="4" t="s">
        <v>24</v>
      </c>
      <c r="X57" t="s">
        <v>24</v>
      </c>
      <c r="Y57" t="s">
        <v>24</v>
      </c>
      <c r="Z57" s="5" t="s">
        <v>24</v>
      </c>
    </row>
    <row r="58" spans="3:26" outlineLevel="1" x14ac:dyDescent="0.25">
      <c r="C58" s="3"/>
      <c r="D58" s="90" t="s">
        <v>63</v>
      </c>
      <c r="E58" s="90"/>
      <c r="F58" s="70"/>
      <c r="G58" s="80" t="str">
        <f t="shared" si="9"/>
        <v>N</v>
      </c>
      <c r="H58" s="80"/>
      <c r="I58" s="80" t="str">
        <f t="shared" si="5"/>
        <v>NA</v>
      </c>
      <c r="J58" s="80"/>
      <c r="K58" s="80" t="str">
        <f t="shared" si="6"/>
        <v>NA</v>
      </c>
      <c r="L58" s="80"/>
      <c r="M58" s="80" t="str">
        <f t="shared" si="7"/>
        <v>NA</v>
      </c>
      <c r="N58" s="80"/>
      <c r="O58" s="80" t="str">
        <f t="shared" si="8"/>
        <v>NA</v>
      </c>
      <c r="P58" s="80"/>
      <c r="Q58" s="60"/>
      <c r="R58" s="118" t="s">
        <v>64</v>
      </c>
      <c r="S58" s="118"/>
      <c r="T58" s="118"/>
      <c r="U58" s="118"/>
      <c r="V58" s="119"/>
      <c r="W58" s="4" t="s">
        <v>24</v>
      </c>
      <c r="X58" t="s">
        <v>24</v>
      </c>
      <c r="Y58" t="s">
        <v>24</v>
      </c>
      <c r="Z58" s="5" t="s">
        <v>24</v>
      </c>
    </row>
    <row r="59" spans="3:26" outlineLevel="1" x14ac:dyDescent="0.25">
      <c r="C59" s="3"/>
      <c r="D59" s="123"/>
      <c r="E59" s="123"/>
      <c r="F59" s="71"/>
      <c r="G59" s="80" t="str">
        <f t="shared" si="9"/>
        <v>N</v>
      </c>
      <c r="H59" s="80"/>
      <c r="I59" s="80" t="str">
        <f t="shared" si="5"/>
        <v>NA</v>
      </c>
      <c r="J59" s="80"/>
      <c r="K59" s="80" t="str">
        <f t="shared" si="6"/>
        <v>NA</v>
      </c>
      <c r="L59" s="80"/>
      <c r="M59" s="80" t="str">
        <f t="shared" si="7"/>
        <v>NA</v>
      </c>
      <c r="N59" s="80"/>
      <c r="O59" s="80" t="str">
        <f t="shared" si="8"/>
        <v>NA</v>
      </c>
      <c r="P59" s="80"/>
      <c r="Q59" s="62"/>
      <c r="R59" s="88"/>
      <c r="S59" s="88"/>
      <c r="T59" s="88"/>
      <c r="U59" s="88"/>
      <c r="V59" s="89"/>
      <c r="W59" s="4" t="s">
        <v>24</v>
      </c>
      <c r="X59" t="s">
        <v>24</v>
      </c>
      <c r="Y59" t="s">
        <v>24</v>
      </c>
      <c r="Z59" s="5" t="s">
        <v>24</v>
      </c>
    </row>
    <row r="60" spans="3:26" outlineLevel="1" x14ac:dyDescent="0.25">
      <c r="C60" s="41" t="s">
        <v>65</v>
      </c>
      <c r="D60" s="42"/>
      <c r="E60" s="42"/>
      <c r="F60" s="42"/>
      <c r="G60" s="120" t="str">
        <f>IF(COUNTIF(G61:H82,"Y")+COUNTIF(G61:H82,"na")+COUNTIF(G61:H82,"n/a")=COUNTA(G61:H82), "Complete", "Incomplete")</f>
        <v>Incomplete</v>
      </c>
      <c r="H60" s="120"/>
      <c r="I60" s="120" t="str">
        <f>IF(COUNTIF(I61:J82,"Y")+COUNTIF(I61:J82,"na")+COUNTIF(I61:J82,"n/a")=COUNTA(I61:J82), "Complete", "Incomplete")</f>
        <v>Complete</v>
      </c>
      <c r="J60" s="120"/>
      <c r="K60" s="120" t="str">
        <f>IF(COUNTIF(K61:L82,"Y")+COUNTIF(K61:L82,"na")+COUNTIF(K61:L82,"n/a")=COUNTA(K61:L82), "Complete", "Incomplete")</f>
        <v>Complete</v>
      </c>
      <c r="L60" s="120"/>
      <c r="M60" s="120" t="str">
        <f>IF(COUNTIF(M61:N82,"Y")+COUNTIF(M61:N82,"na")+COUNTIF(M61:N82,"n/a")=COUNTA(M61:N82), "Complete", "Incomplete")</f>
        <v>Complete</v>
      </c>
      <c r="N60" s="120"/>
      <c r="O60" s="120" t="str">
        <f>IF(COUNTIF(O61:P82,"Y")+COUNTIF(O61:P82,"na")+COUNTIF(O61:P82,"n/a")=COUNTA(O61:P82), "Complete", "Incomplete")</f>
        <v>Complete</v>
      </c>
      <c r="P60" s="120"/>
      <c r="Q60" s="34"/>
      <c r="R60" s="114"/>
      <c r="S60" s="114"/>
      <c r="T60" s="114"/>
      <c r="U60" s="114"/>
      <c r="V60" s="115"/>
      <c r="W60" s="30"/>
      <c r="X60" s="31"/>
      <c r="Y60" s="31"/>
      <c r="Z60" s="32"/>
    </row>
    <row r="61" spans="3:26" outlineLevel="1" x14ac:dyDescent="0.25">
      <c r="C61" s="3"/>
      <c r="D61" s="87" t="s">
        <v>66</v>
      </c>
      <c r="E61" s="87"/>
      <c r="F61" s="72"/>
      <c r="G61" s="80" t="str">
        <f t="shared" ref="G61:G82" si="10">IF(glider1="na","NA",IF(AND(C61="MR",OR(microrider1="no",microrider1="MR?")),"NA","N"))</f>
        <v>N</v>
      </c>
      <c r="H61" s="80"/>
      <c r="I61" s="80" t="str">
        <f t="shared" ref="I61:I82" si="11">IF(glider2="na","NA",IF(AND($C61="MR",OR(microrider2="no",microrider2="MR?")),"NA","N"))</f>
        <v>NA</v>
      </c>
      <c r="J61" s="80"/>
      <c r="K61" s="80" t="str">
        <f t="shared" ref="K61:K82" si="12">IF(glider3="na","NA",IF(AND($C61="MR",OR(microrider3="no",microrider3="MR?")),"NA","N"))</f>
        <v>NA</v>
      </c>
      <c r="L61" s="80"/>
      <c r="M61" s="80" t="str">
        <f t="shared" ref="M61:M82" si="13">IF(glider4="na","NA",IF(AND($C61="MR",OR(microrider4="no",microrider4="MR?")),"NA","N"))</f>
        <v>NA</v>
      </c>
      <c r="N61" s="80"/>
      <c r="O61" s="80" t="str">
        <f t="shared" ref="O61:O82" si="14">IF(glider5="na","NA",IF(AND($C61="MR",OR(microrider5="no",microrider5="MR?")),"NA","N"))</f>
        <v>NA</v>
      </c>
      <c r="P61" s="80"/>
      <c r="Q61" s="59"/>
      <c r="R61" s="116"/>
      <c r="S61" s="116"/>
      <c r="T61" s="116"/>
      <c r="U61" s="116"/>
      <c r="V61" s="117"/>
      <c r="W61" s="4" t="s">
        <v>24</v>
      </c>
      <c r="X61" t="s">
        <v>24</v>
      </c>
      <c r="Y61" t="s">
        <v>24</v>
      </c>
      <c r="Z61" s="5" t="s">
        <v>24</v>
      </c>
    </row>
    <row r="62" spans="3:26" outlineLevel="1" x14ac:dyDescent="0.25">
      <c r="C62" s="3"/>
      <c r="D62" s="84" t="s">
        <v>49</v>
      </c>
      <c r="E62" s="84"/>
      <c r="F62" s="69" t="s">
        <v>50</v>
      </c>
      <c r="G62" s="80" t="str">
        <f t="shared" si="10"/>
        <v>N</v>
      </c>
      <c r="H62" s="80"/>
      <c r="I62" s="80" t="str">
        <f t="shared" si="11"/>
        <v>NA</v>
      </c>
      <c r="J62" s="80"/>
      <c r="K62" s="80" t="str">
        <f t="shared" si="12"/>
        <v>NA</v>
      </c>
      <c r="L62" s="80"/>
      <c r="M62" s="80" t="str">
        <f t="shared" si="13"/>
        <v>NA</v>
      </c>
      <c r="N62" s="80"/>
      <c r="O62" s="80" t="str">
        <f t="shared" si="14"/>
        <v>NA</v>
      </c>
      <c r="P62" s="80"/>
      <c r="Q62" s="60"/>
      <c r="R62" s="82"/>
      <c r="S62" s="82"/>
      <c r="T62" s="82"/>
      <c r="U62" s="82"/>
      <c r="V62" s="83"/>
      <c r="W62" s="4" t="s">
        <v>24</v>
      </c>
      <c r="X62" t="s">
        <v>24</v>
      </c>
      <c r="Y62" t="s">
        <v>24</v>
      </c>
      <c r="Z62" s="5" t="s">
        <v>24</v>
      </c>
    </row>
    <row r="63" spans="3:26" outlineLevel="1" x14ac:dyDescent="0.25">
      <c r="C63" s="3"/>
      <c r="D63" s="84" t="s">
        <v>67</v>
      </c>
      <c r="E63" s="84"/>
      <c r="F63" s="76" t="s">
        <v>60</v>
      </c>
      <c r="G63" s="80" t="str">
        <f t="shared" si="10"/>
        <v>N</v>
      </c>
      <c r="H63" s="80"/>
      <c r="I63" s="80" t="str">
        <f t="shared" si="11"/>
        <v>NA</v>
      </c>
      <c r="J63" s="80"/>
      <c r="K63" s="80" t="str">
        <f t="shared" si="12"/>
        <v>NA</v>
      </c>
      <c r="L63" s="80"/>
      <c r="M63" s="80" t="str">
        <f t="shared" si="13"/>
        <v>NA</v>
      </c>
      <c r="N63" s="80"/>
      <c r="O63" s="80" t="str">
        <f t="shared" si="14"/>
        <v>NA</v>
      </c>
      <c r="P63" s="80"/>
      <c r="Q63" s="60"/>
      <c r="R63" s="82"/>
      <c r="S63" s="82"/>
      <c r="T63" s="82"/>
      <c r="U63" s="82"/>
      <c r="V63" s="83"/>
      <c r="W63" s="4" t="s">
        <v>24</v>
      </c>
      <c r="X63" t="s">
        <v>24</v>
      </c>
      <c r="Y63" t="s">
        <v>24</v>
      </c>
      <c r="Z63" s="5" t="s">
        <v>24</v>
      </c>
    </row>
    <row r="64" spans="3:26" outlineLevel="1" x14ac:dyDescent="0.25">
      <c r="C64" s="3"/>
      <c r="D64" s="84" t="s">
        <v>68</v>
      </c>
      <c r="E64" s="84"/>
      <c r="F64" s="69" t="s">
        <v>69</v>
      </c>
      <c r="G64" s="80" t="str">
        <f t="shared" si="10"/>
        <v>N</v>
      </c>
      <c r="H64" s="80"/>
      <c r="I64" s="80" t="str">
        <f t="shared" si="11"/>
        <v>NA</v>
      </c>
      <c r="J64" s="80"/>
      <c r="K64" s="80" t="str">
        <f t="shared" si="12"/>
        <v>NA</v>
      </c>
      <c r="L64" s="80"/>
      <c r="M64" s="80" t="str">
        <f t="shared" si="13"/>
        <v>NA</v>
      </c>
      <c r="N64" s="80"/>
      <c r="O64" s="80" t="str">
        <f t="shared" si="14"/>
        <v>NA</v>
      </c>
      <c r="P64" s="80"/>
      <c r="Q64" s="60"/>
      <c r="R64" s="82"/>
      <c r="S64" s="82"/>
      <c r="T64" s="82"/>
      <c r="U64" s="82"/>
      <c r="V64" s="83"/>
      <c r="W64" s="4" t="s">
        <v>24</v>
      </c>
      <c r="X64" t="s">
        <v>24</v>
      </c>
      <c r="Y64" t="s">
        <v>24</v>
      </c>
      <c r="Z64" s="5" t="s">
        <v>24</v>
      </c>
    </row>
    <row r="65" spans="3:26" outlineLevel="1" x14ac:dyDescent="0.25">
      <c r="C65" s="3"/>
      <c r="D65" s="84" t="s">
        <v>70</v>
      </c>
      <c r="E65" s="84"/>
      <c r="F65" s="69" t="s">
        <v>71</v>
      </c>
      <c r="G65" s="80" t="str">
        <f t="shared" si="10"/>
        <v>N</v>
      </c>
      <c r="H65" s="80"/>
      <c r="I65" s="80" t="str">
        <f t="shared" si="11"/>
        <v>NA</v>
      </c>
      <c r="J65" s="80"/>
      <c r="K65" s="80" t="str">
        <f t="shared" si="12"/>
        <v>NA</v>
      </c>
      <c r="L65" s="80"/>
      <c r="M65" s="80" t="str">
        <f t="shared" si="13"/>
        <v>NA</v>
      </c>
      <c r="N65" s="80"/>
      <c r="O65" s="80" t="str">
        <f t="shared" si="14"/>
        <v>NA</v>
      </c>
      <c r="P65" s="80"/>
      <c r="Q65" s="60"/>
      <c r="R65" s="82"/>
      <c r="S65" s="82"/>
      <c r="T65" s="82"/>
      <c r="U65" s="82"/>
      <c r="V65" s="83"/>
      <c r="W65" s="4" t="s">
        <v>24</v>
      </c>
      <c r="X65" t="s">
        <v>24</v>
      </c>
      <c r="Y65" t="s">
        <v>24</v>
      </c>
      <c r="Z65" s="5" t="s">
        <v>24</v>
      </c>
    </row>
    <row r="66" spans="3:26" outlineLevel="1" x14ac:dyDescent="0.25">
      <c r="C66" s="3"/>
      <c r="D66" s="84" t="s">
        <v>72</v>
      </c>
      <c r="E66" s="84"/>
      <c r="F66" s="69" t="s">
        <v>73</v>
      </c>
      <c r="G66" s="80" t="str">
        <f t="shared" si="10"/>
        <v>N</v>
      </c>
      <c r="H66" s="80"/>
      <c r="I66" s="80" t="str">
        <f t="shared" si="11"/>
        <v>NA</v>
      </c>
      <c r="J66" s="80"/>
      <c r="K66" s="80" t="str">
        <f t="shared" si="12"/>
        <v>NA</v>
      </c>
      <c r="L66" s="80"/>
      <c r="M66" s="80" t="str">
        <f t="shared" si="13"/>
        <v>NA</v>
      </c>
      <c r="N66" s="80"/>
      <c r="O66" s="80" t="str">
        <f t="shared" si="14"/>
        <v>NA</v>
      </c>
      <c r="P66" s="80"/>
      <c r="Q66" s="60"/>
      <c r="R66" s="82"/>
      <c r="S66" s="82"/>
      <c r="T66" s="82"/>
      <c r="U66" s="82"/>
      <c r="V66" s="83"/>
      <c r="W66" s="4" t="s">
        <v>24</v>
      </c>
      <c r="X66" t="s">
        <v>24</v>
      </c>
      <c r="Y66" t="s">
        <v>24</v>
      </c>
      <c r="Z66" s="5" t="s">
        <v>24</v>
      </c>
    </row>
    <row r="67" spans="3:26" outlineLevel="1" x14ac:dyDescent="0.25">
      <c r="C67" s="3"/>
      <c r="D67" s="84" t="s">
        <v>74</v>
      </c>
      <c r="E67" s="84"/>
      <c r="F67" s="69" t="s">
        <v>75</v>
      </c>
      <c r="G67" s="80" t="str">
        <f t="shared" si="10"/>
        <v>N</v>
      </c>
      <c r="H67" s="80"/>
      <c r="I67" s="80" t="str">
        <f t="shared" si="11"/>
        <v>NA</v>
      </c>
      <c r="J67" s="80"/>
      <c r="K67" s="80" t="str">
        <f t="shared" si="12"/>
        <v>NA</v>
      </c>
      <c r="L67" s="80"/>
      <c r="M67" s="80" t="str">
        <f t="shared" si="13"/>
        <v>NA</v>
      </c>
      <c r="N67" s="80"/>
      <c r="O67" s="80" t="str">
        <f t="shared" si="14"/>
        <v>NA</v>
      </c>
      <c r="P67" s="80"/>
      <c r="Q67" s="60"/>
      <c r="R67" s="82"/>
      <c r="S67" s="82"/>
      <c r="T67" s="82"/>
      <c r="U67" s="82"/>
      <c r="V67" s="83"/>
      <c r="W67" s="4" t="s">
        <v>24</v>
      </c>
      <c r="X67" t="s">
        <v>24</v>
      </c>
      <c r="Y67" t="s">
        <v>24</v>
      </c>
      <c r="Z67" s="5" t="s">
        <v>24</v>
      </c>
    </row>
    <row r="68" spans="3:26" outlineLevel="1" x14ac:dyDescent="0.25">
      <c r="C68" s="3"/>
      <c r="D68" s="84" t="s">
        <v>76</v>
      </c>
      <c r="E68" s="84"/>
      <c r="F68" s="69" t="s">
        <v>56</v>
      </c>
      <c r="G68" s="80" t="str">
        <f t="shared" si="10"/>
        <v>N</v>
      </c>
      <c r="H68" s="80"/>
      <c r="I68" s="80" t="str">
        <f t="shared" si="11"/>
        <v>NA</v>
      </c>
      <c r="J68" s="80"/>
      <c r="K68" s="80" t="str">
        <f t="shared" si="12"/>
        <v>NA</v>
      </c>
      <c r="L68" s="80"/>
      <c r="M68" s="80" t="str">
        <f t="shared" si="13"/>
        <v>NA</v>
      </c>
      <c r="N68" s="80"/>
      <c r="O68" s="80" t="str">
        <f t="shared" si="14"/>
        <v>NA</v>
      </c>
      <c r="P68" s="80"/>
      <c r="Q68" s="60"/>
      <c r="R68" s="82"/>
      <c r="S68" s="82"/>
      <c r="T68" s="82"/>
      <c r="U68" s="82"/>
      <c r="V68" s="83"/>
      <c r="W68" s="4"/>
      <c r="Z68" s="5"/>
    </row>
    <row r="69" spans="3:26" outlineLevel="1" x14ac:dyDescent="0.25">
      <c r="C69" s="3"/>
      <c r="D69" s="84" t="s">
        <v>77</v>
      </c>
      <c r="E69" s="84"/>
      <c r="F69" s="69" t="s">
        <v>78</v>
      </c>
      <c r="G69" s="80" t="str">
        <f t="shared" si="10"/>
        <v>N</v>
      </c>
      <c r="H69" s="80"/>
      <c r="I69" s="80" t="str">
        <f t="shared" si="11"/>
        <v>NA</v>
      </c>
      <c r="J69" s="80"/>
      <c r="K69" s="80" t="str">
        <f t="shared" si="12"/>
        <v>NA</v>
      </c>
      <c r="L69" s="80"/>
      <c r="M69" s="80" t="str">
        <f t="shared" si="13"/>
        <v>NA</v>
      </c>
      <c r="N69" s="80"/>
      <c r="O69" s="80" t="str">
        <f t="shared" si="14"/>
        <v>NA</v>
      </c>
      <c r="P69" s="80"/>
      <c r="Q69" s="60"/>
      <c r="R69" s="82"/>
      <c r="S69" s="82"/>
      <c r="T69" s="82"/>
      <c r="U69" s="82"/>
      <c r="V69" s="83"/>
      <c r="W69" s="4"/>
      <c r="Z69" s="5"/>
    </row>
    <row r="70" spans="3:26" ht="30" outlineLevel="1" x14ac:dyDescent="0.25">
      <c r="C70" s="3"/>
      <c r="D70" s="84" t="s">
        <v>79</v>
      </c>
      <c r="E70" s="84"/>
      <c r="F70" s="76" t="s">
        <v>80</v>
      </c>
      <c r="G70" s="80" t="str">
        <f t="shared" si="10"/>
        <v>N</v>
      </c>
      <c r="H70" s="80"/>
      <c r="I70" s="80" t="str">
        <f t="shared" si="11"/>
        <v>NA</v>
      </c>
      <c r="J70" s="80"/>
      <c r="K70" s="80" t="str">
        <f t="shared" si="12"/>
        <v>NA</v>
      </c>
      <c r="L70" s="80"/>
      <c r="M70" s="80" t="str">
        <f t="shared" si="13"/>
        <v>NA</v>
      </c>
      <c r="N70" s="80"/>
      <c r="O70" s="80" t="str">
        <f t="shared" si="14"/>
        <v>NA</v>
      </c>
      <c r="P70" s="80"/>
      <c r="Q70" s="60"/>
      <c r="R70" s="82"/>
      <c r="S70" s="82"/>
      <c r="T70" s="82"/>
      <c r="U70" s="82"/>
      <c r="V70" s="83"/>
      <c r="W70" s="4"/>
      <c r="Z70" s="5"/>
    </row>
    <row r="71" spans="3:26" outlineLevel="1" x14ac:dyDescent="0.25">
      <c r="C71" s="37" t="s">
        <v>81</v>
      </c>
      <c r="D71" s="84" t="s">
        <v>82</v>
      </c>
      <c r="E71" s="84"/>
      <c r="F71" s="69"/>
      <c r="G71" s="80" t="str">
        <f t="shared" si="10"/>
        <v>N</v>
      </c>
      <c r="H71" s="80"/>
      <c r="I71" s="80" t="str">
        <f t="shared" si="11"/>
        <v>NA</v>
      </c>
      <c r="J71" s="80"/>
      <c r="K71" s="80" t="str">
        <f t="shared" si="12"/>
        <v>NA</v>
      </c>
      <c r="L71" s="80"/>
      <c r="M71" s="80" t="str">
        <f t="shared" si="13"/>
        <v>NA</v>
      </c>
      <c r="N71" s="80"/>
      <c r="O71" s="80" t="str">
        <f t="shared" si="14"/>
        <v>NA</v>
      </c>
      <c r="P71" s="80"/>
      <c r="Q71" s="60"/>
      <c r="R71" s="82"/>
      <c r="S71" s="82"/>
      <c r="T71" s="82"/>
      <c r="U71" s="82"/>
      <c r="V71" s="83"/>
      <c r="W71" s="4"/>
      <c r="Z71" s="5"/>
    </row>
    <row r="72" spans="3:26" outlineLevel="1" x14ac:dyDescent="0.25">
      <c r="C72" s="3"/>
      <c r="D72" s="84" t="s">
        <v>83</v>
      </c>
      <c r="E72" s="84"/>
      <c r="F72" s="69"/>
      <c r="G72" s="80" t="str">
        <f t="shared" si="10"/>
        <v>N</v>
      </c>
      <c r="H72" s="80"/>
      <c r="I72" s="80" t="str">
        <f t="shared" si="11"/>
        <v>NA</v>
      </c>
      <c r="J72" s="80"/>
      <c r="K72" s="80" t="str">
        <f t="shared" si="12"/>
        <v>NA</v>
      </c>
      <c r="L72" s="80"/>
      <c r="M72" s="80" t="str">
        <f t="shared" si="13"/>
        <v>NA</v>
      </c>
      <c r="N72" s="80"/>
      <c r="O72" s="80" t="str">
        <f t="shared" si="14"/>
        <v>NA</v>
      </c>
      <c r="P72" s="80"/>
      <c r="Q72" s="60"/>
      <c r="R72" s="82"/>
      <c r="S72" s="82"/>
      <c r="T72" s="82"/>
      <c r="U72" s="82"/>
      <c r="V72" s="83"/>
      <c r="W72" s="4"/>
      <c r="Z72" s="5"/>
    </row>
    <row r="73" spans="3:26" ht="30" outlineLevel="1" x14ac:dyDescent="0.25">
      <c r="C73" s="3"/>
      <c r="D73" s="84" t="s">
        <v>84</v>
      </c>
      <c r="E73" s="84"/>
      <c r="F73" s="69" t="s">
        <v>85</v>
      </c>
      <c r="G73" s="80" t="str">
        <f t="shared" si="10"/>
        <v>N</v>
      </c>
      <c r="H73" s="80"/>
      <c r="I73" s="80" t="str">
        <f t="shared" si="11"/>
        <v>NA</v>
      </c>
      <c r="J73" s="80"/>
      <c r="K73" s="80" t="str">
        <f t="shared" si="12"/>
        <v>NA</v>
      </c>
      <c r="L73" s="80"/>
      <c r="M73" s="80" t="str">
        <f t="shared" si="13"/>
        <v>NA</v>
      </c>
      <c r="N73" s="80"/>
      <c r="O73" s="80" t="str">
        <f t="shared" si="14"/>
        <v>NA</v>
      </c>
      <c r="P73" s="80"/>
      <c r="Q73" s="60"/>
      <c r="R73" s="82"/>
      <c r="S73" s="82"/>
      <c r="T73" s="82"/>
      <c r="U73" s="82"/>
      <c r="V73" s="83"/>
      <c r="W73" s="4"/>
      <c r="Z73" s="5"/>
    </row>
    <row r="74" spans="3:26" outlineLevel="1" x14ac:dyDescent="0.25">
      <c r="C74" s="3"/>
      <c r="D74" s="84" t="s">
        <v>86</v>
      </c>
      <c r="E74" s="84"/>
      <c r="F74" s="69"/>
      <c r="G74" s="80" t="str">
        <f t="shared" si="10"/>
        <v>N</v>
      </c>
      <c r="H74" s="80"/>
      <c r="I74" s="80" t="str">
        <f t="shared" si="11"/>
        <v>NA</v>
      </c>
      <c r="J74" s="80"/>
      <c r="K74" s="80" t="str">
        <f t="shared" si="12"/>
        <v>NA</v>
      </c>
      <c r="L74" s="80"/>
      <c r="M74" s="80" t="str">
        <f t="shared" si="13"/>
        <v>NA</v>
      </c>
      <c r="N74" s="80"/>
      <c r="O74" s="80" t="str">
        <f t="shared" si="14"/>
        <v>NA</v>
      </c>
      <c r="P74" s="80"/>
      <c r="Q74" s="60"/>
      <c r="R74" s="82"/>
      <c r="S74" s="82"/>
      <c r="T74" s="82"/>
      <c r="U74" s="82"/>
      <c r="V74" s="83"/>
      <c r="W74" s="4"/>
      <c r="Z74" s="5"/>
    </row>
    <row r="75" spans="3:26" ht="30" outlineLevel="1" x14ac:dyDescent="0.25">
      <c r="C75" s="3"/>
      <c r="D75" s="84" t="s">
        <v>87</v>
      </c>
      <c r="E75" s="84"/>
      <c r="F75" s="69" t="s">
        <v>88</v>
      </c>
      <c r="G75" s="80" t="str">
        <f t="shared" si="10"/>
        <v>N</v>
      </c>
      <c r="H75" s="80"/>
      <c r="I75" s="80" t="str">
        <f t="shared" si="11"/>
        <v>NA</v>
      </c>
      <c r="J75" s="80"/>
      <c r="K75" s="80" t="str">
        <f t="shared" si="12"/>
        <v>NA</v>
      </c>
      <c r="L75" s="80"/>
      <c r="M75" s="80" t="str">
        <f t="shared" si="13"/>
        <v>NA</v>
      </c>
      <c r="N75" s="80"/>
      <c r="O75" s="80" t="str">
        <f t="shared" si="14"/>
        <v>NA</v>
      </c>
      <c r="P75" s="80"/>
      <c r="Q75" s="60"/>
      <c r="R75" s="82"/>
      <c r="S75" s="82"/>
      <c r="T75" s="82"/>
      <c r="U75" s="82"/>
      <c r="V75" s="83"/>
      <c r="W75" s="4"/>
      <c r="Z75" s="5"/>
    </row>
    <row r="76" spans="3:26" ht="30" outlineLevel="1" x14ac:dyDescent="0.25">
      <c r="C76" s="3"/>
      <c r="D76" s="84" t="s">
        <v>89</v>
      </c>
      <c r="E76" s="84"/>
      <c r="F76" s="76" t="s">
        <v>90</v>
      </c>
      <c r="G76" s="80" t="str">
        <f t="shared" si="10"/>
        <v>N</v>
      </c>
      <c r="H76" s="80"/>
      <c r="I76" s="80" t="str">
        <f t="shared" si="11"/>
        <v>NA</v>
      </c>
      <c r="J76" s="80"/>
      <c r="K76" s="80" t="str">
        <f t="shared" si="12"/>
        <v>NA</v>
      </c>
      <c r="L76" s="80"/>
      <c r="M76" s="80" t="str">
        <f t="shared" si="13"/>
        <v>NA</v>
      </c>
      <c r="N76" s="80"/>
      <c r="O76" s="80" t="str">
        <f t="shared" si="14"/>
        <v>NA</v>
      </c>
      <c r="P76" s="80"/>
      <c r="Q76" s="60"/>
      <c r="R76" s="82"/>
      <c r="S76" s="82"/>
      <c r="T76" s="82"/>
      <c r="U76" s="82"/>
      <c r="V76" s="83"/>
      <c r="W76" s="4" t="s">
        <v>24</v>
      </c>
      <c r="X76" t="s">
        <v>24</v>
      </c>
      <c r="Y76" t="s">
        <v>24</v>
      </c>
      <c r="Z76" s="5" t="s">
        <v>24</v>
      </c>
    </row>
    <row r="77" spans="3:26" ht="30" outlineLevel="1" x14ac:dyDescent="0.25">
      <c r="C77" s="3"/>
      <c r="D77" s="84" t="s">
        <v>91</v>
      </c>
      <c r="E77" s="84"/>
      <c r="F77" s="69" t="s">
        <v>138</v>
      </c>
      <c r="G77" s="80" t="str">
        <f t="shared" si="10"/>
        <v>N</v>
      </c>
      <c r="H77" s="80"/>
      <c r="I77" s="80" t="str">
        <f t="shared" si="11"/>
        <v>NA</v>
      </c>
      <c r="J77" s="80"/>
      <c r="K77" s="80" t="str">
        <f t="shared" si="12"/>
        <v>NA</v>
      </c>
      <c r="L77" s="80"/>
      <c r="M77" s="80" t="str">
        <f t="shared" si="13"/>
        <v>NA</v>
      </c>
      <c r="N77" s="80"/>
      <c r="O77" s="80" t="str">
        <f t="shared" si="14"/>
        <v>NA</v>
      </c>
      <c r="P77" s="80"/>
      <c r="Q77" s="60"/>
      <c r="R77" s="82"/>
      <c r="S77" s="82"/>
      <c r="T77" s="82"/>
      <c r="U77" s="82"/>
      <c r="V77" s="83"/>
      <c r="W77" s="4" t="s">
        <v>24</v>
      </c>
      <c r="X77" t="s">
        <v>24</v>
      </c>
      <c r="Y77" t="s">
        <v>24</v>
      </c>
      <c r="Z77" s="5" t="s">
        <v>24</v>
      </c>
    </row>
    <row r="78" spans="3:26" outlineLevel="1" x14ac:dyDescent="0.25">
      <c r="C78" s="3"/>
      <c r="D78" s="84" t="s">
        <v>92</v>
      </c>
      <c r="E78" s="84"/>
      <c r="F78" s="69" t="s">
        <v>93</v>
      </c>
      <c r="G78" s="80" t="str">
        <f t="shared" si="10"/>
        <v>N</v>
      </c>
      <c r="H78" s="80"/>
      <c r="I78" s="80" t="str">
        <f t="shared" si="11"/>
        <v>NA</v>
      </c>
      <c r="J78" s="80"/>
      <c r="K78" s="80" t="str">
        <f t="shared" si="12"/>
        <v>NA</v>
      </c>
      <c r="L78" s="80"/>
      <c r="M78" s="80" t="str">
        <f t="shared" si="13"/>
        <v>NA</v>
      </c>
      <c r="N78" s="80"/>
      <c r="O78" s="80" t="str">
        <f t="shared" si="14"/>
        <v>NA</v>
      </c>
      <c r="P78" s="80"/>
      <c r="Q78" s="60"/>
      <c r="R78" s="82"/>
      <c r="S78" s="82"/>
      <c r="T78" s="82"/>
      <c r="U78" s="82"/>
      <c r="V78" s="83"/>
      <c r="W78" s="4" t="s">
        <v>24</v>
      </c>
      <c r="X78" t="s">
        <v>24</v>
      </c>
      <c r="Y78" t="s">
        <v>24</v>
      </c>
      <c r="Z78" s="5" t="s">
        <v>24</v>
      </c>
    </row>
    <row r="79" spans="3:26" outlineLevel="1" x14ac:dyDescent="0.25">
      <c r="C79" s="3"/>
      <c r="D79" s="84" t="s">
        <v>94</v>
      </c>
      <c r="E79" s="84"/>
      <c r="F79" s="69"/>
      <c r="G79" s="80" t="str">
        <f t="shared" si="10"/>
        <v>N</v>
      </c>
      <c r="H79" s="80"/>
      <c r="I79" s="80" t="str">
        <f t="shared" si="11"/>
        <v>NA</v>
      </c>
      <c r="J79" s="80"/>
      <c r="K79" s="80" t="str">
        <f t="shared" si="12"/>
        <v>NA</v>
      </c>
      <c r="L79" s="80"/>
      <c r="M79" s="80" t="str">
        <f t="shared" si="13"/>
        <v>NA</v>
      </c>
      <c r="N79" s="80"/>
      <c r="O79" s="80" t="str">
        <f t="shared" si="14"/>
        <v>NA</v>
      </c>
      <c r="P79" s="80"/>
      <c r="Q79" s="60"/>
      <c r="R79" s="82"/>
      <c r="S79" s="82"/>
      <c r="T79" s="82"/>
      <c r="U79" s="82"/>
      <c r="V79" s="83"/>
      <c r="W79" s="4" t="s">
        <v>24</v>
      </c>
      <c r="X79" t="s">
        <v>24</v>
      </c>
      <c r="Y79" t="s">
        <v>24</v>
      </c>
      <c r="Z79" s="5" t="s">
        <v>24</v>
      </c>
    </row>
    <row r="80" spans="3:26" outlineLevel="1" x14ac:dyDescent="0.25">
      <c r="C80" s="3"/>
      <c r="D80" s="84"/>
      <c r="E80" s="84"/>
      <c r="F80" s="69"/>
      <c r="G80" s="80" t="str">
        <f t="shared" si="10"/>
        <v>N</v>
      </c>
      <c r="H80" s="80"/>
      <c r="I80" s="80" t="str">
        <f t="shared" si="11"/>
        <v>NA</v>
      </c>
      <c r="J80" s="80"/>
      <c r="K80" s="80" t="str">
        <f t="shared" si="12"/>
        <v>NA</v>
      </c>
      <c r="L80" s="80"/>
      <c r="M80" s="80" t="str">
        <f t="shared" si="13"/>
        <v>NA</v>
      </c>
      <c r="N80" s="80"/>
      <c r="O80" s="80" t="str">
        <f t="shared" si="14"/>
        <v>NA</v>
      </c>
      <c r="P80" s="80"/>
      <c r="Q80" s="60"/>
      <c r="R80" s="82"/>
      <c r="S80" s="82"/>
      <c r="T80" s="82"/>
      <c r="U80" s="82"/>
      <c r="V80" s="83"/>
      <c r="W80" s="4" t="s">
        <v>24</v>
      </c>
      <c r="X80" t="s">
        <v>24</v>
      </c>
      <c r="Y80" t="s">
        <v>24</v>
      </c>
      <c r="Z80" s="5" t="s">
        <v>24</v>
      </c>
    </row>
    <row r="81" spans="3:26" outlineLevel="1" x14ac:dyDescent="0.25">
      <c r="C81" s="3"/>
      <c r="D81" s="84"/>
      <c r="E81" s="84"/>
      <c r="F81" s="69"/>
      <c r="G81" s="80" t="str">
        <f t="shared" si="10"/>
        <v>N</v>
      </c>
      <c r="H81" s="80"/>
      <c r="I81" s="80" t="str">
        <f t="shared" si="11"/>
        <v>NA</v>
      </c>
      <c r="J81" s="80"/>
      <c r="K81" s="80" t="str">
        <f t="shared" si="12"/>
        <v>NA</v>
      </c>
      <c r="L81" s="80"/>
      <c r="M81" s="80" t="str">
        <f t="shared" si="13"/>
        <v>NA</v>
      </c>
      <c r="N81" s="80"/>
      <c r="O81" s="80" t="str">
        <f t="shared" si="14"/>
        <v>NA</v>
      </c>
      <c r="P81" s="80"/>
      <c r="Q81" s="60"/>
      <c r="R81" s="82"/>
      <c r="S81" s="82"/>
      <c r="T81" s="82"/>
      <c r="U81" s="82"/>
      <c r="V81" s="83"/>
      <c r="W81" s="4" t="s">
        <v>24</v>
      </c>
      <c r="X81" t="s">
        <v>24</v>
      </c>
      <c r="Y81" t="s">
        <v>24</v>
      </c>
      <c r="Z81" s="5" t="s">
        <v>24</v>
      </c>
    </row>
    <row r="82" spans="3:26" outlineLevel="1" x14ac:dyDescent="0.25">
      <c r="C82" s="3"/>
      <c r="D82" s="85"/>
      <c r="E82" s="85"/>
      <c r="F82" s="71"/>
      <c r="G82" s="80" t="str">
        <f t="shared" si="10"/>
        <v>N</v>
      </c>
      <c r="H82" s="80"/>
      <c r="I82" s="80" t="str">
        <f t="shared" si="11"/>
        <v>NA</v>
      </c>
      <c r="J82" s="80"/>
      <c r="K82" s="80" t="str">
        <f t="shared" si="12"/>
        <v>NA</v>
      </c>
      <c r="L82" s="80"/>
      <c r="M82" s="80" t="str">
        <f t="shared" si="13"/>
        <v>NA</v>
      </c>
      <c r="N82" s="80"/>
      <c r="O82" s="80" t="str">
        <f t="shared" si="14"/>
        <v>NA</v>
      </c>
      <c r="P82" s="80"/>
      <c r="Q82" s="62"/>
      <c r="R82" s="88"/>
      <c r="S82" s="88"/>
      <c r="T82" s="88"/>
      <c r="U82" s="88"/>
      <c r="V82" s="89"/>
      <c r="W82" s="4" t="s">
        <v>24</v>
      </c>
      <c r="X82" t="s">
        <v>24</v>
      </c>
      <c r="Y82" t="s">
        <v>24</v>
      </c>
      <c r="Z82" s="5" t="s">
        <v>24</v>
      </c>
    </row>
    <row r="83" spans="3:26" outlineLevel="1" x14ac:dyDescent="0.25">
      <c r="C83" s="43" t="s">
        <v>95</v>
      </c>
      <c r="D83" s="44"/>
      <c r="E83" s="44"/>
      <c r="F83" s="44"/>
      <c r="G83" s="120" t="str">
        <f>IF(COUNTIF(G84:H94,"Y")+COUNTIF(G84:H94,"na")+COUNTIF(G84:H94,"n/a")=COUNTA(G84:H94), "Complete", "Incomplete")</f>
        <v>Incomplete</v>
      </c>
      <c r="H83" s="120"/>
      <c r="I83" s="120" t="str">
        <f>IF(COUNTIF(I84:J94,"Y")+COUNTIF(I84:J94,"na")+COUNTIF(I84:J94,"n/a")=COUNTA(I84:J94), "Complete", "Incomplete")</f>
        <v>Complete</v>
      </c>
      <c r="J83" s="120"/>
      <c r="K83" s="120" t="str">
        <f>IF(COUNTIF(K84:L94,"Y")+COUNTIF(K84:L94,"na")+COUNTIF(K84:L94,"n/a")=COUNTA(K84:L94), "Complete", "Incomplete")</f>
        <v>Complete</v>
      </c>
      <c r="L83" s="120"/>
      <c r="M83" s="120" t="str">
        <f>IF(COUNTIF(M84:N94,"Y")+COUNTIF(M84:N94,"na")+COUNTIF(M84:N94,"n/a")=COUNTA(M84:N94), "Complete", "Incomplete")</f>
        <v>Complete</v>
      </c>
      <c r="N83" s="120"/>
      <c r="O83" s="120" t="str">
        <f>IF(COUNTIF(O84:P94,"Y")+COUNTIF(O84:P94,"na")+COUNTIF(O84:P94,"n/a")=COUNTA(O84:P94), "Complete", "Incomplete")</f>
        <v>Complete</v>
      </c>
      <c r="P83" s="120"/>
      <c r="Q83" s="34"/>
      <c r="R83" s="114"/>
      <c r="S83" s="114"/>
      <c r="T83" s="114"/>
      <c r="U83" s="114"/>
      <c r="V83" s="115"/>
      <c r="W83" s="30"/>
      <c r="X83" s="31"/>
      <c r="Y83" s="31"/>
      <c r="Z83" s="32"/>
    </row>
    <row r="84" spans="3:26" outlineLevel="1" x14ac:dyDescent="0.25">
      <c r="C84" s="3"/>
      <c r="D84" s="84" t="s">
        <v>96</v>
      </c>
      <c r="E84" s="84"/>
      <c r="F84" s="76" t="s">
        <v>97</v>
      </c>
      <c r="G84" s="80" t="str">
        <f t="shared" ref="G84:G94" si="15">IF(glider1="na","NA",IF(AND(C84="MR",OR(microrider1="no",microrider1="MR?")),"NA","N"))</f>
        <v>N</v>
      </c>
      <c r="H84" s="80"/>
      <c r="I84" s="80" t="str">
        <f t="shared" ref="I84:I94" si="16">IF(glider2="na","NA",IF(AND($C84="MR",OR(microrider2="no",microrider2="MR?")),"NA","N"))</f>
        <v>NA</v>
      </c>
      <c r="J84" s="80"/>
      <c r="K84" s="80" t="str">
        <f t="shared" ref="K84:K94" si="17">IF(glider3="na","NA",IF(AND($C84="MR",OR(microrider3="no",microrider3="MR?")),"NA","N"))</f>
        <v>NA</v>
      </c>
      <c r="L84" s="80"/>
      <c r="M84" s="80" t="str">
        <f t="shared" ref="M84:M94" si="18">IF(glider4="na","NA",IF(AND($C84="MR",OR(microrider4="no",microrider4="MR?")),"NA","N"))</f>
        <v>NA</v>
      </c>
      <c r="N84" s="80"/>
      <c r="O84" s="80" t="str">
        <f t="shared" ref="O84:O94" si="19">IF(glider5="na","NA",IF(AND($C84="MR",OR(microrider5="no",microrider5="MR?")),"NA","N"))</f>
        <v>NA</v>
      </c>
      <c r="P84" s="80"/>
      <c r="Q84" s="60"/>
      <c r="R84" s="82"/>
      <c r="S84" s="82"/>
      <c r="T84" s="82"/>
      <c r="U84" s="82"/>
      <c r="V84" s="83"/>
      <c r="W84" s="4" t="s">
        <v>24</v>
      </c>
      <c r="X84" t="s">
        <v>24</v>
      </c>
      <c r="Y84" t="s">
        <v>24</v>
      </c>
      <c r="Z84" s="5" t="s">
        <v>24</v>
      </c>
    </row>
    <row r="85" spans="3:26" ht="30" outlineLevel="1" x14ac:dyDescent="0.25">
      <c r="C85" s="3"/>
      <c r="D85" s="84" t="s">
        <v>98</v>
      </c>
      <c r="E85" s="84"/>
      <c r="F85" s="76" t="s">
        <v>99</v>
      </c>
      <c r="G85" s="80" t="str">
        <f t="shared" si="15"/>
        <v>N</v>
      </c>
      <c r="H85" s="80"/>
      <c r="I85" s="80" t="str">
        <f t="shared" si="16"/>
        <v>NA</v>
      </c>
      <c r="J85" s="80"/>
      <c r="K85" s="80" t="str">
        <f t="shared" si="17"/>
        <v>NA</v>
      </c>
      <c r="L85" s="80"/>
      <c r="M85" s="80" t="str">
        <f t="shared" si="18"/>
        <v>NA</v>
      </c>
      <c r="N85" s="80"/>
      <c r="O85" s="80" t="str">
        <f t="shared" si="19"/>
        <v>NA</v>
      </c>
      <c r="P85" s="80"/>
      <c r="Q85" s="60"/>
      <c r="R85" s="82"/>
      <c r="S85" s="82"/>
      <c r="T85" s="82"/>
      <c r="U85" s="82"/>
      <c r="V85" s="83"/>
      <c r="W85" s="4" t="s">
        <v>24</v>
      </c>
      <c r="X85" t="s">
        <v>24</v>
      </c>
      <c r="Y85" t="s">
        <v>24</v>
      </c>
      <c r="Z85" s="5" t="s">
        <v>24</v>
      </c>
    </row>
    <row r="86" spans="3:26" ht="14.25" customHeight="1" x14ac:dyDescent="0.25">
      <c r="C86" s="3"/>
      <c r="D86" s="84" t="s">
        <v>100</v>
      </c>
      <c r="E86" s="84"/>
      <c r="F86" s="76" t="s">
        <v>101</v>
      </c>
      <c r="G86" s="80" t="str">
        <f t="shared" si="15"/>
        <v>N</v>
      </c>
      <c r="H86" s="80"/>
      <c r="I86" s="80" t="str">
        <f t="shared" si="16"/>
        <v>NA</v>
      </c>
      <c r="J86" s="80"/>
      <c r="K86" s="80" t="str">
        <f t="shared" si="17"/>
        <v>NA</v>
      </c>
      <c r="L86" s="80"/>
      <c r="M86" s="80" t="str">
        <f t="shared" si="18"/>
        <v>NA</v>
      </c>
      <c r="N86" s="80"/>
      <c r="O86" s="80" t="str">
        <f t="shared" si="19"/>
        <v>NA</v>
      </c>
      <c r="P86" s="80"/>
      <c r="Q86" s="60"/>
      <c r="R86" s="82"/>
      <c r="S86" s="82"/>
      <c r="T86" s="82"/>
      <c r="U86" s="82"/>
      <c r="V86" s="83"/>
      <c r="W86" s="4" t="s">
        <v>24</v>
      </c>
      <c r="X86" t="s">
        <v>24</v>
      </c>
      <c r="Y86" t="s">
        <v>24</v>
      </c>
      <c r="Z86" s="5" t="s">
        <v>24</v>
      </c>
    </row>
    <row r="87" spans="3:26" x14ac:dyDescent="0.25">
      <c r="C87" s="3"/>
      <c r="D87" s="84" t="s">
        <v>102</v>
      </c>
      <c r="E87" s="84"/>
      <c r="F87" s="76" t="s">
        <v>103</v>
      </c>
      <c r="G87" s="80" t="str">
        <f t="shared" si="15"/>
        <v>N</v>
      </c>
      <c r="H87" s="80"/>
      <c r="I87" s="80" t="str">
        <f t="shared" si="16"/>
        <v>NA</v>
      </c>
      <c r="J87" s="80"/>
      <c r="K87" s="80" t="str">
        <f t="shared" si="17"/>
        <v>NA</v>
      </c>
      <c r="L87" s="80"/>
      <c r="M87" s="80" t="str">
        <f t="shared" si="18"/>
        <v>NA</v>
      </c>
      <c r="N87" s="80"/>
      <c r="O87" s="80" t="str">
        <f t="shared" si="19"/>
        <v>NA</v>
      </c>
      <c r="P87" s="80"/>
      <c r="Q87" s="60"/>
      <c r="R87" s="82"/>
      <c r="S87" s="82"/>
      <c r="T87" s="82"/>
      <c r="U87" s="82"/>
      <c r="V87" s="83"/>
      <c r="W87" s="4" t="s">
        <v>24</v>
      </c>
      <c r="X87" t="s">
        <v>24</v>
      </c>
      <c r="Y87" t="s">
        <v>24</v>
      </c>
      <c r="Z87" s="5" t="s">
        <v>24</v>
      </c>
    </row>
    <row r="88" spans="3:26" x14ac:dyDescent="0.25">
      <c r="C88" s="3"/>
      <c r="D88" s="84" t="s">
        <v>104</v>
      </c>
      <c r="E88" s="84"/>
      <c r="F88" s="69"/>
      <c r="G88" s="80" t="str">
        <f t="shared" si="15"/>
        <v>N</v>
      </c>
      <c r="H88" s="80"/>
      <c r="I88" s="80" t="str">
        <f t="shared" si="16"/>
        <v>NA</v>
      </c>
      <c r="J88" s="80"/>
      <c r="K88" s="80" t="str">
        <f t="shared" si="17"/>
        <v>NA</v>
      </c>
      <c r="L88" s="80"/>
      <c r="M88" s="80" t="str">
        <f t="shared" si="18"/>
        <v>NA</v>
      </c>
      <c r="N88" s="80"/>
      <c r="O88" s="80" t="str">
        <f t="shared" si="19"/>
        <v>NA</v>
      </c>
      <c r="P88" s="80"/>
      <c r="Q88" s="60"/>
      <c r="R88" s="82"/>
      <c r="S88" s="82"/>
      <c r="T88" s="82"/>
      <c r="U88" s="82"/>
      <c r="V88" s="83"/>
      <c r="W88" s="4" t="s">
        <v>24</v>
      </c>
      <c r="X88" t="s">
        <v>24</v>
      </c>
      <c r="Y88" t="s">
        <v>24</v>
      </c>
      <c r="Z88" s="5" t="s">
        <v>24</v>
      </c>
    </row>
    <row r="89" spans="3:26" x14ac:dyDescent="0.25">
      <c r="C89" s="3"/>
      <c r="D89" s="84" t="s">
        <v>105</v>
      </c>
      <c r="E89" s="84"/>
      <c r="F89" s="76" t="s">
        <v>106</v>
      </c>
      <c r="G89" s="80" t="str">
        <f t="shared" si="15"/>
        <v>N</v>
      </c>
      <c r="H89" s="80"/>
      <c r="I89" s="80" t="str">
        <f t="shared" si="16"/>
        <v>NA</v>
      </c>
      <c r="J89" s="80"/>
      <c r="K89" s="80" t="str">
        <f t="shared" si="17"/>
        <v>NA</v>
      </c>
      <c r="L89" s="80"/>
      <c r="M89" s="80" t="str">
        <f t="shared" si="18"/>
        <v>NA</v>
      </c>
      <c r="N89" s="80"/>
      <c r="O89" s="80" t="str">
        <f t="shared" si="19"/>
        <v>NA</v>
      </c>
      <c r="P89" s="80"/>
      <c r="Q89" s="60"/>
      <c r="R89" s="82"/>
      <c r="S89" s="82"/>
      <c r="T89" s="82"/>
      <c r="U89" s="82"/>
      <c r="V89" s="83"/>
      <c r="W89" s="4" t="s">
        <v>24</v>
      </c>
      <c r="X89" t="s">
        <v>24</v>
      </c>
      <c r="Y89" t="s">
        <v>24</v>
      </c>
      <c r="Z89" s="5" t="s">
        <v>24</v>
      </c>
    </row>
    <row r="90" spans="3:26" ht="30" x14ac:dyDescent="0.25">
      <c r="C90" s="3"/>
      <c r="D90" s="84" t="s">
        <v>107</v>
      </c>
      <c r="E90" s="84"/>
      <c r="F90" s="76" t="s">
        <v>108</v>
      </c>
      <c r="G90" s="80" t="str">
        <f t="shared" si="15"/>
        <v>N</v>
      </c>
      <c r="H90" s="80"/>
      <c r="I90" s="80" t="str">
        <f t="shared" si="16"/>
        <v>NA</v>
      </c>
      <c r="J90" s="80"/>
      <c r="K90" s="80" t="str">
        <f t="shared" si="17"/>
        <v>NA</v>
      </c>
      <c r="L90" s="80"/>
      <c r="M90" s="80" t="str">
        <f t="shared" si="18"/>
        <v>NA</v>
      </c>
      <c r="N90" s="80"/>
      <c r="O90" s="80" t="str">
        <f t="shared" si="19"/>
        <v>NA</v>
      </c>
      <c r="P90" s="80"/>
      <c r="Q90" s="60"/>
      <c r="R90" s="82"/>
      <c r="S90" s="82"/>
      <c r="T90" s="82"/>
      <c r="U90" s="82"/>
      <c r="V90" s="83"/>
      <c r="W90" s="4" t="s">
        <v>24</v>
      </c>
      <c r="X90" t="s">
        <v>24</v>
      </c>
      <c r="Y90" t="s">
        <v>24</v>
      </c>
      <c r="Z90" s="5" t="s">
        <v>24</v>
      </c>
    </row>
    <row r="91" spans="3:26" x14ac:dyDescent="0.25">
      <c r="C91" s="3"/>
      <c r="D91" s="84" t="s">
        <v>109</v>
      </c>
      <c r="E91" s="84"/>
      <c r="F91" s="69" t="s">
        <v>110</v>
      </c>
      <c r="G91" s="80" t="str">
        <f t="shared" si="15"/>
        <v>N</v>
      </c>
      <c r="H91" s="80"/>
      <c r="I91" s="80" t="str">
        <f t="shared" si="16"/>
        <v>NA</v>
      </c>
      <c r="J91" s="80"/>
      <c r="K91" s="80" t="str">
        <f t="shared" si="17"/>
        <v>NA</v>
      </c>
      <c r="L91" s="80"/>
      <c r="M91" s="80" t="str">
        <f t="shared" si="18"/>
        <v>NA</v>
      </c>
      <c r="N91" s="80"/>
      <c r="O91" s="80" t="str">
        <f t="shared" si="19"/>
        <v>NA</v>
      </c>
      <c r="P91" s="80"/>
      <c r="Q91" s="60"/>
      <c r="R91" s="82"/>
      <c r="S91" s="82"/>
      <c r="T91" s="82"/>
      <c r="U91" s="82"/>
      <c r="V91" s="83"/>
      <c r="W91" s="4" t="s">
        <v>24</v>
      </c>
      <c r="X91" t="s">
        <v>24</v>
      </c>
      <c r="Y91" t="s">
        <v>24</v>
      </c>
      <c r="Z91" s="5" t="s">
        <v>24</v>
      </c>
    </row>
    <row r="92" spans="3:26" x14ac:dyDescent="0.25">
      <c r="C92" s="3"/>
      <c r="D92" s="84"/>
      <c r="E92" s="84"/>
      <c r="F92" s="69"/>
      <c r="G92" s="80" t="str">
        <f t="shared" si="15"/>
        <v>N</v>
      </c>
      <c r="H92" s="80"/>
      <c r="I92" s="80" t="str">
        <f t="shared" si="16"/>
        <v>NA</v>
      </c>
      <c r="J92" s="80"/>
      <c r="K92" s="80" t="str">
        <f t="shared" si="17"/>
        <v>NA</v>
      </c>
      <c r="L92" s="80"/>
      <c r="M92" s="80" t="str">
        <f t="shared" si="18"/>
        <v>NA</v>
      </c>
      <c r="N92" s="80"/>
      <c r="O92" s="80" t="str">
        <f t="shared" si="19"/>
        <v>NA</v>
      </c>
      <c r="P92" s="80"/>
      <c r="Q92" s="60"/>
      <c r="R92" s="82"/>
      <c r="S92" s="82"/>
      <c r="T92" s="82"/>
      <c r="U92" s="82"/>
      <c r="V92" s="83"/>
      <c r="W92" s="4" t="s">
        <v>24</v>
      </c>
      <c r="X92" t="s">
        <v>24</v>
      </c>
      <c r="Y92" t="s">
        <v>24</v>
      </c>
      <c r="Z92" s="5" t="s">
        <v>24</v>
      </c>
    </row>
    <row r="93" spans="3:26" x14ac:dyDescent="0.25">
      <c r="C93" s="3"/>
      <c r="D93" s="84"/>
      <c r="E93" s="84"/>
      <c r="F93" s="69"/>
      <c r="G93" s="80" t="str">
        <f t="shared" si="15"/>
        <v>N</v>
      </c>
      <c r="H93" s="80"/>
      <c r="I93" s="80" t="str">
        <f t="shared" si="16"/>
        <v>NA</v>
      </c>
      <c r="J93" s="80"/>
      <c r="K93" s="80" t="str">
        <f t="shared" si="17"/>
        <v>NA</v>
      </c>
      <c r="L93" s="80"/>
      <c r="M93" s="80" t="str">
        <f t="shared" si="18"/>
        <v>NA</v>
      </c>
      <c r="N93" s="80"/>
      <c r="O93" s="80" t="str">
        <f t="shared" si="19"/>
        <v>NA</v>
      </c>
      <c r="P93" s="80"/>
      <c r="Q93" s="60"/>
      <c r="R93" s="82"/>
      <c r="S93" s="82"/>
      <c r="T93" s="82"/>
      <c r="U93" s="82"/>
      <c r="V93" s="83"/>
      <c r="W93" s="4" t="s">
        <v>24</v>
      </c>
      <c r="X93" t="s">
        <v>24</v>
      </c>
      <c r="Y93" t="s">
        <v>24</v>
      </c>
      <c r="Z93" s="5" t="s">
        <v>24</v>
      </c>
    </row>
    <row r="94" spans="3:26" x14ac:dyDescent="0.25">
      <c r="C94" s="3"/>
      <c r="D94" s="85"/>
      <c r="E94" s="85"/>
      <c r="F94" s="71"/>
      <c r="G94" s="80" t="str">
        <f t="shared" si="15"/>
        <v>N</v>
      </c>
      <c r="H94" s="80"/>
      <c r="I94" s="80" t="str">
        <f t="shared" si="16"/>
        <v>NA</v>
      </c>
      <c r="J94" s="80"/>
      <c r="K94" s="80" t="str">
        <f t="shared" si="17"/>
        <v>NA</v>
      </c>
      <c r="L94" s="80"/>
      <c r="M94" s="80" t="str">
        <f t="shared" si="18"/>
        <v>NA</v>
      </c>
      <c r="N94" s="80"/>
      <c r="O94" s="80" t="str">
        <f t="shared" si="19"/>
        <v>NA</v>
      </c>
      <c r="P94" s="80"/>
      <c r="Q94" s="62"/>
      <c r="R94" s="88"/>
      <c r="S94" s="88"/>
      <c r="T94" s="88"/>
      <c r="U94" s="88"/>
      <c r="V94" s="89"/>
      <c r="W94" s="4" t="s">
        <v>24</v>
      </c>
      <c r="X94" t="s">
        <v>24</v>
      </c>
      <c r="Y94" t="s">
        <v>24</v>
      </c>
      <c r="Z94" s="5" t="s">
        <v>24</v>
      </c>
    </row>
    <row r="95" spans="3:26" x14ac:dyDescent="0.25">
      <c r="C95" s="43" t="s">
        <v>111</v>
      </c>
      <c r="D95" s="44"/>
      <c r="E95" s="44"/>
      <c r="F95" s="44"/>
      <c r="G95" s="120" t="str">
        <f>IF(COUNTIF(G96:H100,"Y")+COUNTIF(G96:H100,"na")+COUNTIF(G96:H100,"n/a")=COUNTA(G96:H100), "Complete", "Incomplete")</f>
        <v>Incomplete</v>
      </c>
      <c r="H95" s="120"/>
      <c r="I95" s="120" t="str">
        <f>IF(COUNTIF(I96:J100,"Y")+COUNTIF(I96:J100,"na")+COUNTIF(I96:J100,"n/a")=COUNTA(I96:J100), "Complete", "Incomplete")</f>
        <v>Complete</v>
      </c>
      <c r="J95" s="120"/>
      <c r="K95" s="120" t="str">
        <f>IF(COUNTIF(K96:L100,"Y")+COUNTIF(K96:L100,"na")+COUNTIF(K96:L100,"n/a")=COUNTA(K96:L100), "Complete", "Incomplete")</f>
        <v>Complete</v>
      </c>
      <c r="L95" s="120"/>
      <c r="M95" s="120" t="str">
        <f>IF(COUNTIF(M96:N100,"Y")+COUNTIF(M96:N100,"na")+COUNTIF(M96:N100,"n/a")=COUNTA(M96:N100), "Complete", "Incomplete")</f>
        <v>Complete</v>
      </c>
      <c r="N95" s="120"/>
      <c r="O95" s="120" t="str">
        <f>IF(COUNTIF(O96:P100,"Y")+COUNTIF(O96:P100,"na")+COUNTIF(O96:P100,"n/a")=COUNTA(O96:P100), "Complete", "Incomplete")</f>
        <v>Complete</v>
      </c>
      <c r="P95" s="120"/>
      <c r="Q95" s="34"/>
      <c r="R95" s="114"/>
      <c r="S95" s="114"/>
      <c r="T95" s="114"/>
      <c r="U95" s="114"/>
      <c r="V95" s="115"/>
      <c r="W95" s="30"/>
      <c r="X95" s="31"/>
      <c r="Y95" s="31"/>
      <c r="Z95" s="32"/>
    </row>
    <row r="96" spans="3:26" x14ac:dyDescent="0.25">
      <c r="C96" s="3"/>
      <c r="D96" s="87" t="s">
        <v>112</v>
      </c>
      <c r="E96" s="87"/>
      <c r="F96" s="73" t="s">
        <v>113</v>
      </c>
      <c r="G96" s="80" t="str">
        <f t="shared" ref="G96:G100" si="20">IF(glider1="na","NA",IF(AND(C96="MR",OR(microrider1="no",microrider1="MR?")),"NA","N"))</f>
        <v>N</v>
      </c>
      <c r="H96" s="80"/>
      <c r="I96" s="80" t="str">
        <f t="shared" ref="I96:I100" si="21">IF(glider2="na","NA",IF(AND($C96="MR",OR(microrider2="no",microrider2="MR?")),"NA","N"))</f>
        <v>NA</v>
      </c>
      <c r="J96" s="80"/>
      <c r="K96" s="80" t="str">
        <f t="shared" ref="K96:K100" si="22">IF(glider3="na","NA",IF(AND($C96="MR",OR(microrider3="no",microrider3="MR?")),"NA","N"))</f>
        <v>NA</v>
      </c>
      <c r="L96" s="80"/>
      <c r="M96" s="80" t="str">
        <f t="shared" ref="M96:M100" si="23">IF(glider4="na","NA",IF(AND($C96="MR",OR(microrider4="no",microrider4="MR?")),"NA","N"))</f>
        <v>NA</v>
      </c>
      <c r="N96" s="80"/>
      <c r="O96" s="80" t="str">
        <f t="shared" ref="O96:O100" si="24">IF(glider5="na","NA",IF(AND($C96="MR",OR(microrider5="no",microrider5="MR?")),"NA","N"))</f>
        <v>NA</v>
      </c>
      <c r="P96" s="80"/>
      <c r="Q96" s="59"/>
      <c r="R96" s="116"/>
      <c r="S96" s="116"/>
      <c r="T96" s="116"/>
      <c r="U96" s="116"/>
      <c r="V96" s="117"/>
      <c r="W96" s="4" t="s">
        <v>24</v>
      </c>
      <c r="X96" t="s">
        <v>24</v>
      </c>
      <c r="Y96" t="s">
        <v>24</v>
      </c>
      <c r="Z96" s="5" t="s">
        <v>24</v>
      </c>
    </row>
    <row r="97" spans="3:26" ht="31.5" customHeight="1" x14ac:dyDescent="0.25">
      <c r="C97" s="3"/>
      <c r="D97" s="84" t="s">
        <v>114</v>
      </c>
      <c r="E97" s="84"/>
      <c r="F97" s="74"/>
      <c r="G97" s="80" t="str">
        <f t="shared" si="20"/>
        <v>N</v>
      </c>
      <c r="H97" s="80"/>
      <c r="I97" s="80" t="str">
        <f t="shared" si="21"/>
        <v>NA</v>
      </c>
      <c r="J97" s="80"/>
      <c r="K97" s="80" t="str">
        <f t="shared" si="22"/>
        <v>NA</v>
      </c>
      <c r="L97" s="80"/>
      <c r="M97" s="80" t="str">
        <f t="shared" si="23"/>
        <v>NA</v>
      </c>
      <c r="N97" s="80"/>
      <c r="O97" s="80" t="str">
        <f t="shared" si="24"/>
        <v>NA</v>
      </c>
      <c r="P97" s="80"/>
      <c r="Q97" s="60"/>
      <c r="R97" s="82"/>
      <c r="S97" s="82"/>
      <c r="T97" s="82"/>
      <c r="U97" s="82"/>
      <c r="V97" s="83"/>
      <c r="W97" s="4" t="s">
        <v>24</v>
      </c>
      <c r="X97" t="s">
        <v>24</v>
      </c>
      <c r="Y97" t="s">
        <v>24</v>
      </c>
      <c r="Z97" s="5" t="s">
        <v>24</v>
      </c>
    </row>
    <row r="98" spans="3:26" x14ac:dyDescent="0.25">
      <c r="C98" s="3"/>
      <c r="D98" s="84"/>
      <c r="E98" s="84"/>
      <c r="F98" s="74"/>
      <c r="G98" s="80" t="str">
        <f t="shared" si="20"/>
        <v>N</v>
      </c>
      <c r="H98" s="80"/>
      <c r="I98" s="80" t="str">
        <f t="shared" si="21"/>
        <v>NA</v>
      </c>
      <c r="J98" s="80"/>
      <c r="K98" s="80" t="str">
        <f t="shared" si="22"/>
        <v>NA</v>
      </c>
      <c r="L98" s="80"/>
      <c r="M98" s="80" t="str">
        <f t="shared" si="23"/>
        <v>NA</v>
      </c>
      <c r="N98" s="80"/>
      <c r="O98" s="80" t="str">
        <f t="shared" si="24"/>
        <v>NA</v>
      </c>
      <c r="P98" s="80"/>
      <c r="Q98" s="60"/>
      <c r="R98" s="82"/>
      <c r="S98" s="82"/>
      <c r="T98" s="82"/>
      <c r="U98" s="82"/>
      <c r="V98" s="83"/>
      <c r="W98" s="4" t="s">
        <v>24</v>
      </c>
      <c r="X98" t="s">
        <v>24</v>
      </c>
      <c r="Y98" t="s">
        <v>24</v>
      </c>
      <c r="Z98" s="5" t="s">
        <v>24</v>
      </c>
    </row>
    <row r="99" spans="3:26" x14ac:dyDescent="0.25">
      <c r="C99" s="3"/>
      <c r="D99" s="84"/>
      <c r="E99" s="84"/>
      <c r="F99" s="74"/>
      <c r="G99" s="80" t="str">
        <f t="shared" si="20"/>
        <v>N</v>
      </c>
      <c r="H99" s="80"/>
      <c r="I99" s="80" t="str">
        <f t="shared" si="21"/>
        <v>NA</v>
      </c>
      <c r="J99" s="80"/>
      <c r="K99" s="80" t="str">
        <f t="shared" si="22"/>
        <v>NA</v>
      </c>
      <c r="L99" s="80"/>
      <c r="M99" s="80" t="str">
        <f t="shared" si="23"/>
        <v>NA</v>
      </c>
      <c r="N99" s="80"/>
      <c r="O99" s="80" t="str">
        <f t="shared" si="24"/>
        <v>NA</v>
      </c>
      <c r="P99" s="80"/>
      <c r="Q99" s="60"/>
      <c r="R99" s="82"/>
      <c r="S99" s="82"/>
      <c r="T99" s="82"/>
      <c r="U99" s="82"/>
      <c r="V99" s="83"/>
      <c r="W99" s="4" t="s">
        <v>24</v>
      </c>
      <c r="X99" t="s">
        <v>24</v>
      </c>
      <c r="Y99" t="s">
        <v>24</v>
      </c>
      <c r="Z99" s="5" t="s">
        <v>24</v>
      </c>
    </row>
    <row r="100" spans="3:26" ht="15.75" thickBot="1" x14ac:dyDescent="0.3">
      <c r="C100" s="6"/>
      <c r="D100" s="86"/>
      <c r="E100" s="86"/>
      <c r="F100" s="75"/>
      <c r="G100" s="80" t="str">
        <f t="shared" si="20"/>
        <v>N</v>
      </c>
      <c r="H100" s="80"/>
      <c r="I100" s="80" t="str">
        <f t="shared" si="21"/>
        <v>NA</v>
      </c>
      <c r="J100" s="80"/>
      <c r="K100" s="80" t="str">
        <f t="shared" si="22"/>
        <v>NA</v>
      </c>
      <c r="L100" s="80"/>
      <c r="M100" s="80" t="str">
        <f t="shared" si="23"/>
        <v>NA</v>
      </c>
      <c r="N100" s="80"/>
      <c r="O100" s="80" t="str">
        <f t="shared" si="24"/>
        <v>NA</v>
      </c>
      <c r="P100" s="80"/>
      <c r="Q100" s="63"/>
      <c r="R100" s="121"/>
      <c r="S100" s="121"/>
      <c r="T100" s="121"/>
      <c r="U100" s="121"/>
      <c r="V100" s="122"/>
      <c r="W100" s="40" t="s">
        <v>24</v>
      </c>
      <c r="X100" s="38" t="s">
        <v>24</v>
      </c>
      <c r="Y100" s="38" t="s">
        <v>24</v>
      </c>
      <c r="Z100" s="39" t="s">
        <v>24</v>
      </c>
    </row>
    <row r="110" spans="3:26" ht="51" customHeight="1" x14ac:dyDescent="0.25"/>
    <row r="111" spans="3:26" ht="52.5" customHeight="1" x14ac:dyDescent="0.25"/>
    <row r="112" spans="3:26" ht="52.5" customHeight="1" x14ac:dyDescent="0.25"/>
    <row r="114" ht="28.5" customHeight="1" x14ac:dyDescent="0.25"/>
    <row r="115" ht="14.25" customHeight="1" x14ac:dyDescent="0.25"/>
    <row r="131" ht="28.5" customHeight="1" x14ac:dyDescent="0.25"/>
    <row r="132" ht="14.25" customHeight="1" x14ac:dyDescent="0.25"/>
    <row r="148" ht="28.5" customHeight="1" x14ac:dyDescent="0.25"/>
    <row r="149" ht="14.25" customHeight="1" x14ac:dyDescent="0.25"/>
    <row r="165" ht="28.5" customHeight="1" x14ac:dyDescent="0.25"/>
    <row r="166" ht="14.25" customHeight="1" x14ac:dyDescent="0.25"/>
    <row r="188" ht="28.5" customHeight="1" x14ac:dyDescent="0.25"/>
    <row r="189" ht="14.25" customHeight="1" x14ac:dyDescent="0.25"/>
  </sheetData>
  <mergeCells count="490">
    <mergeCell ref="D52:E52"/>
    <mergeCell ref="G52:H52"/>
    <mergeCell ref="I52:J52"/>
    <mergeCell ref="K52:L52"/>
    <mergeCell ref="M52:N52"/>
    <mergeCell ref="O52:P52"/>
    <mergeCell ref="R52:V52"/>
    <mergeCell ref="D57:E57"/>
    <mergeCell ref="G57:H57"/>
    <mergeCell ref="I57:J57"/>
    <mergeCell ref="K57:L57"/>
    <mergeCell ref="M57:N57"/>
    <mergeCell ref="O57:P57"/>
    <mergeCell ref="R57:V57"/>
    <mergeCell ref="G55:H55"/>
    <mergeCell ref="I55:J55"/>
    <mergeCell ref="K55:L55"/>
    <mergeCell ref="M55:N55"/>
    <mergeCell ref="O55:P55"/>
    <mergeCell ref="R55:V55"/>
    <mergeCell ref="D56:E56"/>
    <mergeCell ref="G56:H56"/>
    <mergeCell ref="I56:J56"/>
    <mergeCell ref="K56:L56"/>
    <mergeCell ref="O77:P77"/>
    <mergeCell ref="O78:P78"/>
    <mergeCell ref="O79:P79"/>
    <mergeCell ref="O80:P80"/>
    <mergeCell ref="O35:P35"/>
    <mergeCell ref="G7:I7"/>
    <mergeCell ref="G8:I8"/>
    <mergeCell ref="G9:I9"/>
    <mergeCell ref="G10:I10"/>
    <mergeCell ref="G11:I11"/>
    <mergeCell ref="G12:I12"/>
    <mergeCell ref="O60:P60"/>
    <mergeCell ref="M60:N60"/>
    <mergeCell ref="K60:L60"/>
    <mergeCell ref="I60:J60"/>
    <mergeCell ref="G60:H60"/>
    <mergeCell ref="O36:P36"/>
    <mergeCell ref="O37:P37"/>
    <mergeCell ref="K45:L45"/>
    <mergeCell ref="K46:L46"/>
    <mergeCell ref="G23:H23"/>
    <mergeCell ref="G34:H34"/>
    <mergeCell ref="G69:H69"/>
    <mergeCell ref="O83:P83"/>
    <mergeCell ref="M83:N83"/>
    <mergeCell ref="K83:L83"/>
    <mergeCell ref="I34:J34"/>
    <mergeCell ref="K34:L34"/>
    <mergeCell ref="M34:N34"/>
    <mergeCell ref="O34:P34"/>
    <mergeCell ref="G43:H43"/>
    <mergeCell ref="O43:P43"/>
    <mergeCell ref="M43:N43"/>
    <mergeCell ref="K43:L43"/>
    <mergeCell ref="I43:J43"/>
    <mergeCell ref="I35:J35"/>
    <mergeCell ref="I36:J36"/>
    <mergeCell ref="I37:J37"/>
    <mergeCell ref="I38:J38"/>
    <mergeCell ref="M37:N37"/>
    <mergeCell ref="M38:N38"/>
    <mergeCell ref="M39:N39"/>
    <mergeCell ref="G89:H89"/>
    <mergeCell ref="I83:J83"/>
    <mergeCell ref="G83:H83"/>
    <mergeCell ref="O89:P89"/>
    <mergeCell ref="R89:V89"/>
    <mergeCell ref="K90:L90"/>
    <mergeCell ref="D1:E1"/>
    <mergeCell ref="O93:P93"/>
    <mergeCell ref="R93:V93"/>
    <mergeCell ref="G17:H17"/>
    <mergeCell ref="G18:H18"/>
    <mergeCell ref="G19:H19"/>
    <mergeCell ref="G20:H20"/>
    <mergeCell ref="G21:H21"/>
    <mergeCell ref="G22:H22"/>
    <mergeCell ref="D47:E47"/>
    <mergeCell ref="G47:H47"/>
    <mergeCell ref="I47:J47"/>
    <mergeCell ref="K47:L47"/>
    <mergeCell ref="M47:N47"/>
    <mergeCell ref="O47:P47"/>
    <mergeCell ref="R47:V47"/>
    <mergeCell ref="D48:E48"/>
    <mergeCell ref="G48:H48"/>
    <mergeCell ref="D75:E75"/>
    <mergeCell ref="G75:H75"/>
    <mergeCell ref="I75:J75"/>
    <mergeCell ref="K75:L75"/>
    <mergeCell ref="M75:N75"/>
    <mergeCell ref="O75:P75"/>
    <mergeCell ref="R75:V75"/>
    <mergeCell ref="D92:E92"/>
    <mergeCell ref="G92:H92"/>
    <mergeCell ref="I92:J92"/>
    <mergeCell ref="K92:L92"/>
    <mergeCell ref="M92:N92"/>
    <mergeCell ref="O92:P92"/>
    <mergeCell ref="R92:V92"/>
    <mergeCell ref="D76:E76"/>
    <mergeCell ref="G76:H76"/>
    <mergeCell ref="I76:J76"/>
    <mergeCell ref="K76:L76"/>
    <mergeCell ref="M76:N76"/>
    <mergeCell ref="O76:P76"/>
    <mergeCell ref="R76:V76"/>
    <mergeCell ref="G90:H90"/>
    <mergeCell ref="I90:J90"/>
    <mergeCell ref="O88:P88"/>
    <mergeCell ref="D73:E73"/>
    <mergeCell ref="G73:H73"/>
    <mergeCell ref="I73:J73"/>
    <mergeCell ref="K73:L73"/>
    <mergeCell ref="M73:N73"/>
    <mergeCell ref="O73:P73"/>
    <mergeCell ref="R73:V73"/>
    <mergeCell ref="D74:E74"/>
    <mergeCell ref="G74:H74"/>
    <mergeCell ref="I74:J74"/>
    <mergeCell ref="K74:L74"/>
    <mergeCell ref="M74:N74"/>
    <mergeCell ref="O74:P74"/>
    <mergeCell ref="R74:V74"/>
    <mergeCell ref="D71:E71"/>
    <mergeCell ref="G71:H71"/>
    <mergeCell ref="I71:J71"/>
    <mergeCell ref="K71:L71"/>
    <mergeCell ref="M71:N71"/>
    <mergeCell ref="O71:P71"/>
    <mergeCell ref="R71:V71"/>
    <mergeCell ref="D72:E72"/>
    <mergeCell ref="G72:H72"/>
    <mergeCell ref="I72:J72"/>
    <mergeCell ref="K72:L72"/>
    <mergeCell ref="M72:N72"/>
    <mergeCell ref="O72:P72"/>
    <mergeCell ref="R72:V72"/>
    <mergeCell ref="I69:J69"/>
    <mergeCell ref="K69:L69"/>
    <mergeCell ref="M69:N69"/>
    <mergeCell ref="O69:P69"/>
    <mergeCell ref="R69:V69"/>
    <mergeCell ref="D70:E70"/>
    <mergeCell ref="G70:H70"/>
    <mergeCell ref="I70:J70"/>
    <mergeCell ref="K70:L70"/>
    <mergeCell ref="M70:N70"/>
    <mergeCell ref="O70:P70"/>
    <mergeCell ref="R70:V70"/>
    <mergeCell ref="D64:E64"/>
    <mergeCell ref="G64:H64"/>
    <mergeCell ref="I64:J64"/>
    <mergeCell ref="K64:L64"/>
    <mergeCell ref="M58:N58"/>
    <mergeCell ref="M59:N59"/>
    <mergeCell ref="M61:N61"/>
    <mergeCell ref="M62:N62"/>
    <mergeCell ref="G59:H59"/>
    <mergeCell ref="G58:H58"/>
    <mergeCell ref="K58:L58"/>
    <mergeCell ref="D59:E59"/>
    <mergeCell ref="D58:E58"/>
    <mergeCell ref="I58:J58"/>
    <mergeCell ref="I59:J59"/>
    <mergeCell ref="I61:J61"/>
    <mergeCell ref="I62:J62"/>
    <mergeCell ref="O100:P100"/>
    <mergeCell ref="R100:V100"/>
    <mergeCell ref="D51:E51"/>
    <mergeCell ref="G51:H51"/>
    <mergeCell ref="I51:J51"/>
    <mergeCell ref="K51:L51"/>
    <mergeCell ref="M51:N51"/>
    <mergeCell ref="O51:P51"/>
    <mergeCell ref="R51:V51"/>
    <mergeCell ref="D53:E53"/>
    <mergeCell ref="G53:H53"/>
    <mergeCell ref="I53:J53"/>
    <mergeCell ref="K53:L53"/>
    <mergeCell ref="M53:N53"/>
    <mergeCell ref="O53:P53"/>
    <mergeCell ref="R53:V53"/>
    <mergeCell ref="D54:E54"/>
    <mergeCell ref="G54:H54"/>
    <mergeCell ref="I54:J54"/>
    <mergeCell ref="K54:L54"/>
    <mergeCell ref="M54:N54"/>
    <mergeCell ref="O54:P54"/>
    <mergeCell ref="R54:V54"/>
    <mergeCell ref="D55:E55"/>
    <mergeCell ref="O98:P98"/>
    <mergeCell ref="R98:V98"/>
    <mergeCell ref="D99:E99"/>
    <mergeCell ref="G99:H99"/>
    <mergeCell ref="I99:J99"/>
    <mergeCell ref="K99:L99"/>
    <mergeCell ref="M99:N99"/>
    <mergeCell ref="O99:P99"/>
    <mergeCell ref="R99:V99"/>
    <mergeCell ref="R95:V95"/>
    <mergeCell ref="G96:H96"/>
    <mergeCell ref="I96:J96"/>
    <mergeCell ref="K96:L96"/>
    <mergeCell ref="M96:N96"/>
    <mergeCell ref="O96:P96"/>
    <mergeCell ref="R96:V96"/>
    <mergeCell ref="G97:H97"/>
    <mergeCell ref="I97:J97"/>
    <mergeCell ref="K97:L97"/>
    <mergeCell ref="M97:N97"/>
    <mergeCell ref="O97:P97"/>
    <mergeCell ref="R97:V97"/>
    <mergeCell ref="O95:P95"/>
    <mergeCell ref="M95:N95"/>
    <mergeCell ref="K95:L95"/>
    <mergeCell ref="I95:J95"/>
    <mergeCell ref="G95:H95"/>
    <mergeCell ref="G94:H94"/>
    <mergeCell ref="I94:J94"/>
    <mergeCell ref="K94:L94"/>
    <mergeCell ref="M94:N94"/>
    <mergeCell ref="O94:P94"/>
    <mergeCell ref="R94:V94"/>
    <mergeCell ref="G91:H91"/>
    <mergeCell ref="I91:J91"/>
    <mergeCell ref="K91:L91"/>
    <mergeCell ref="M91:N91"/>
    <mergeCell ref="O91:P91"/>
    <mergeCell ref="R91:V91"/>
    <mergeCell ref="I93:J93"/>
    <mergeCell ref="K93:L93"/>
    <mergeCell ref="M93:N93"/>
    <mergeCell ref="M90:N90"/>
    <mergeCell ref="O90:P90"/>
    <mergeCell ref="R90:V90"/>
    <mergeCell ref="I86:J86"/>
    <mergeCell ref="K86:L86"/>
    <mergeCell ref="M86:N86"/>
    <mergeCell ref="O86:P86"/>
    <mergeCell ref="R86:V86"/>
    <mergeCell ref="I88:J88"/>
    <mergeCell ref="K88:L88"/>
    <mergeCell ref="M88:N88"/>
    <mergeCell ref="I89:J89"/>
    <mergeCell ref="K89:L89"/>
    <mergeCell ref="M89:N89"/>
    <mergeCell ref="R88:V88"/>
    <mergeCell ref="D87:E87"/>
    <mergeCell ref="G87:H87"/>
    <mergeCell ref="I87:J87"/>
    <mergeCell ref="K87:L87"/>
    <mergeCell ref="M87:N87"/>
    <mergeCell ref="O87:P87"/>
    <mergeCell ref="R87:V87"/>
    <mergeCell ref="I84:J84"/>
    <mergeCell ref="K84:L84"/>
    <mergeCell ref="M84:N84"/>
    <mergeCell ref="O84:P84"/>
    <mergeCell ref="R84:V84"/>
    <mergeCell ref="G85:H85"/>
    <mergeCell ref="I85:J85"/>
    <mergeCell ref="K85:L85"/>
    <mergeCell ref="M85:N85"/>
    <mergeCell ref="O85:P85"/>
    <mergeCell ref="R85:V85"/>
    <mergeCell ref="G86:H86"/>
    <mergeCell ref="M56:N56"/>
    <mergeCell ref="O56:P56"/>
    <mergeCell ref="R56:V56"/>
    <mergeCell ref="O58:P58"/>
    <mergeCell ref="O59:P59"/>
    <mergeCell ref="K59:L59"/>
    <mergeCell ref="R83:V83"/>
    <mergeCell ref="D63:E63"/>
    <mergeCell ref="G63:H63"/>
    <mergeCell ref="I63:J63"/>
    <mergeCell ref="R65:V65"/>
    <mergeCell ref="D66:E66"/>
    <mergeCell ref="G66:H66"/>
    <mergeCell ref="I66:J66"/>
    <mergeCell ref="K66:L66"/>
    <mergeCell ref="M66:N66"/>
    <mergeCell ref="O66:P66"/>
    <mergeCell ref="R66:V66"/>
    <mergeCell ref="D62:E62"/>
    <mergeCell ref="G62:H62"/>
    <mergeCell ref="G88:H88"/>
    <mergeCell ref="K61:L61"/>
    <mergeCell ref="K62:L62"/>
    <mergeCell ref="M77:N77"/>
    <mergeCell ref="M78:N78"/>
    <mergeCell ref="K63:L63"/>
    <mergeCell ref="M63:N63"/>
    <mergeCell ref="I67:J67"/>
    <mergeCell ref="K67:L67"/>
    <mergeCell ref="M67:N67"/>
    <mergeCell ref="K65:L65"/>
    <mergeCell ref="M65:N65"/>
    <mergeCell ref="K78:L78"/>
    <mergeCell ref="K77:L77"/>
    <mergeCell ref="I77:J77"/>
    <mergeCell ref="G68:H68"/>
    <mergeCell ref="I68:J68"/>
    <mergeCell ref="R78:V78"/>
    <mergeCell ref="R33:V33"/>
    <mergeCell ref="R34:V34"/>
    <mergeCell ref="R42:V42"/>
    <mergeCell ref="R43:V43"/>
    <mergeCell ref="R44:V44"/>
    <mergeCell ref="R58:V58"/>
    <mergeCell ref="R59:V59"/>
    <mergeCell ref="R60:V60"/>
    <mergeCell ref="R35:V35"/>
    <mergeCell ref="R62:V62"/>
    <mergeCell ref="R63:V63"/>
    <mergeCell ref="R64:V64"/>
    <mergeCell ref="R48:V48"/>
    <mergeCell ref="R77:V77"/>
    <mergeCell ref="R61:V61"/>
    <mergeCell ref="R68:V68"/>
    <mergeCell ref="R40:V40"/>
    <mergeCell ref="R1:V1"/>
    <mergeCell ref="C6:C13"/>
    <mergeCell ref="G36:H36"/>
    <mergeCell ref="R36:V36"/>
    <mergeCell ref="K35:L35"/>
    <mergeCell ref="K36:L36"/>
    <mergeCell ref="R32:V32"/>
    <mergeCell ref="G24:H24"/>
    <mergeCell ref="C33:E33"/>
    <mergeCell ref="D35:E35"/>
    <mergeCell ref="G35:H35"/>
    <mergeCell ref="D36:E36"/>
    <mergeCell ref="G1:H1"/>
    <mergeCell ref="I1:J1"/>
    <mergeCell ref="K1:L1"/>
    <mergeCell ref="M1:N1"/>
    <mergeCell ref="O1:P1"/>
    <mergeCell ref="C3:F4"/>
    <mergeCell ref="C18:F18"/>
    <mergeCell ref="D39:E39"/>
    <mergeCell ref="G39:H39"/>
    <mergeCell ref="R39:V39"/>
    <mergeCell ref="O39:P39"/>
    <mergeCell ref="K37:L37"/>
    <mergeCell ref="K38:L38"/>
    <mergeCell ref="K39:L39"/>
    <mergeCell ref="I39:J39"/>
    <mergeCell ref="M35:N35"/>
    <mergeCell ref="M36:N36"/>
    <mergeCell ref="D37:E37"/>
    <mergeCell ref="G37:H37"/>
    <mergeCell ref="R37:V37"/>
    <mergeCell ref="D38:E38"/>
    <mergeCell ref="G38:H38"/>
    <mergeCell ref="R38:V38"/>
    <mergeCell ref="O38:P38"/>
    <mergeCell ref="K50:L50"/>
    <mergeCell ref="O48:P48"/>
    <mergeCell ref="I48:J48"/>
    <mergeCell ref="K48:L48"/>
    <mergeCell ref="D45:E45"/>
    <mergeCell ref="G45:H45"/>
    <mergeCell ref="R45:V45"/>
    <mergeCell ref="I42:J42"/>
    <mergeCell ref="I44:J44"/>
    <mergeCell ref="I45:J45"/>
    <mergeCell ref="M42:N42"/>
    <mergeCell ref="M44:N44"/>
    <mergeCell ref="M45:N45"/>
    <mergeCell ref="O42:P42"/>
    <mergeCell ref="O44:P44"/>
    <mergeCell ref="O45:P45"/>
    <mergeCell ref="G42:H42"/>
    <mergeCell ref="G44:H44"/>
    <mergeCell ref="D42:E42"/>
    <mergeCell ref="D44:E44"/>
    <mergeCell ref="K42:L42"/>
    <mergeCell ref="K44:L44"/>
    <mergeCell ref="K79:L79"/>
    <mergeCell ref="K80:L80"/>
    <mergeCell ref="K81:L81"/>
    <mergeCell ref="M79:N79"/>
    <mergeCell ref="D46:E46"/>
    <mergeCell ref="G46:H46"/>
    <mergeCell ref="D65:E65"/>
    <mergeCell ref="G65:H65"/>
    <mergeCell ref="I65:J65"/>
    <mergeCell ref="D61:E61"/>
    <mergeCell ref="D68:E68"/>
    <mergeCell ref="D69:E69"/>
    <mergeCell ref="R46:V46"/>
    <mergeCell ref="D49:E49"/>
    <mergeCell ref="G49:H49"/>
    <mergeCell ref="R49:V49"/>
    <mergeCell ref="D50:E50"/>
    <mergeCell ref="G50:H50"/>
    <mergeCell ref="R50:V50"/>
    <mergeCell ref="I46:J46"/>
    <mergeCell ref="I49:J49"/>
    <mergeCell ref="I50:J50"/>
    <mergeCell ref="M46:N46"/>
    <mergeCell ref="M49:N49"/>
    <mergeCell ref="M50:N50"/>
    <mergeCell ref="O46:P46"/>
    <mergeCell ref="O49:P49"/>
    <mergeCell ref="O50:P50"/>
    <mergeCell ref="K49:L49"/>
    <mergeCell ref="D100:E100"/>
    <mergeCell ref="D96:E96"/>
    <mergeCell ref="D67:E67"/>
    <mergeCell ref="G67:H67"/>
    <mergeCell ref="M48:N48"/>
    <mergeCell ref="R79:V79"/>
    <mergeCell ref="D80:E80"/>
    <mergeCell ref="G80:H80"/>
    <mergeCell ref="R80:V80"/>
    <mergeCell ref="G82:H82"/>
    <mergeCell ref="G81:H81"/>
    <mergeCell ref="R81:V81"/>
    <mergeCell ref="R82:V82"/>
    <mergeCell ref="M81:N81"/>
    <mergeCell ref="M82:N82"/>
    <mergeCell ref="O81:P81"/>
    <mergeCell ref="O82:P82"/>
    <mergeCell ref="D81:E81"/>
    <mergeCell ref="D82:E82"/>
    <mergeCell ref="I79:J79"/>
    <mergeCell ref="I80:J80"/>
    <mergeCell ref="I81:J81"/>
    <mergeCell ref="I82:J82"/>
    <mergeCell ref="O67:P67"/>
    <mergeCell ref="G98:H98"/>
    <mergeCell ref="D77:E77"/>
    <mergeCell ref="G77:H77"/>
    <mergeCell ref="G79:H79"/>
    <mergeCell ref="D88:E88"/>
    <mergeCell ref="D89:E89"/>
    <mergeCell ref="I78:J78"/>
    <mergeCell ref="D85:E85"/>
    <mergeCell ref="D78:E78"/>
    <mergeCell ref="G78:H78"/>
    <mergeCell ref="D79:E79"/>
    <mergeCell ref="D84:E84"/>
    <mergeCell ref="G84:H84"/>
    <mergeCell ref="D86:E86"/>
    <mergeCell ref="M80:N80"/>
    <mergeCell ref="D94:E94"/>
    <mergeCell ref="D93:E93"/>
    <mergeCell ref="G93:H93"/>
    <mergeCell ref="K82:L82"/>
    <mergeCell ref="O63:P63"/>
    <mergeCell ref="O65:P65"/>
    <mergeCell ref="G100:H100"/>
    <mergeCell ref="I100:J100"/>
    <mergeCell ref="K100:L100"/>
    <mergeCell ref="M100:N100"/>
    <mergeCell ref="D90:E90"/>
    <mergeCell ref="D91:E91"/>
    <mergeCell ref="D97:E97"/>
    <mergeCell ref="D98:E98"/>
    <mergeCell ref="I98:J98"/>
    <mergeCell ref="K98:L98"/>
    <mergeCell ref="M98:N98"/>
    <mergeCell ref="O61:P61"/>
    <mergeCell ref="O62:P62"/>
    <mergeCell ref="M64:N64"/>
    <mergeCell ref="O64:P64"/>
    <mergeCell ref="G61:H61"/>
    <mergeCell ref="R67:V67"/>
    <mergeCell ref="K68:L68"/>
    <mergeCell ref="M68:N68"/>
    <mergeCell ref="O68:P68"/>
    <mergeCell ref="D41:E41"/>
    <mergeCell ref="G41:H41"/>
    <mergeCell ref="I41:J41"/>
    <mergeCell ref="K41:L41"/>
    <mergeCell ref="M41:N41"/>
    <mergeCell ref="O41:P41"/>
    <mergeCell ref="K40:L40"/>
    <mergeCell ref="M40:N40"/>
    <mergeCell ref="O40:P40"/>
    <mergeCell ref="D40:E40"/>
    <mergeCell ref="G40:H40"/>
    <mergeCell ref="I40:J40"/>
  </mergeCells>
  <conditionalFormatting sqref="G34 I34 K34 M34 O34 G43 I43 K43 M43 O43 G60 I60 K60 M60 O60">
    <cfRule type="cellIs" dxfId="21" priority="252" operator="equal">
      <formula>"complete"</formula>
    </cfRule>
    <cfRule type="cellIs" dxfId="20" priority="253" operator="equal">
      <formula>"incomplete"</formula>
    </cfRule>
  </conditionalFormatting>
  <conditionalFormatting sqref="G83 I83 K83 M83 O83">
    <cfRule type="cellIs" dxfId="19" priority="180" operator="equal">
      <formula>"complete"</formula>
    </cfRule>
    <cfRule type="cellIs" dxfId="18" priority="181" operator="equal">
      <formula>"incomplete"</formula>
    </cfRule>
  </conditionalFormatting>
  <conditionalFormatting sqref="G95 I95 K95 M95 O95">
    <cfRule type="cellIs" dxfId="17" priority="150" operator="equal">
      <formula>"complete"</formula>
    </cfRule>
    <cfRule type="cellIs" dxfId="16" priority="151" operator="equal">
      <formula>"incomplete"</formula>
    </cfRule>
  </conditionalFormatting>
  <conditionalFormatting sqref="G17:H21">
    <cfRule type="cellIs" dxfId="15" priority="61" operator="equal">
      <formula>"input glider name"</formula>
    </cfRule>
  </conditionalFormatting>
  <conditionalFormatting sqref="G35:P42 G44:P59 G61:P82 G84:P94 G96:P100">
    <cfRule type="cellIs" dxfId="14" priority="40" operator="equal">
      <formula>"NA"</formula>
    </cfRule>
  </conditionalFormatting>
  <conditionalFormatting sqref="G35:P42 G44:P59 G61:P82 G84:P94 G96:P100">
    <cfRule type="cellIs" dxfId="13" priority="246" operator="equal">
      <formula>"y"</formula>
    </cfRule>
    <cfRule type="cellIs" dxfId="12" priority="247" operator="equal">
      <formula>"n"</formula>
    </cfRule>
  </conditionalFormatting>
  <conditionalFormatting sqref="H33">
    <cfRule type="cellIs" dxfId="11" priority="254" operator="equal">
      <formula>"Section Complete"</formula>
    </cfRule>
    <cfRule type="cellIs" dxfId="10" priority="255" operator="equal">
      <formula>"Section Incomplete"</formula>
    </cfRule>
  </conditionalFormatting>
  <conditionalFormatting sqref="J33">
    <cfRule type="cellIs" dxfId="9" priority="216" operator="equal">
      <formula>"Section Complete"</formula>
    </cfRule>
    <cfRule type="cellIs" dxfId="8" priority="217" operator="equal">
      <formula>"Section Incomplete"</formula>
    </cfRule>
  </conditionalFormatting>
  <conditionalFormatting sqref="L33">
    <cfRule type="cellIs" dxfId="7" priority="228" operator="equal">
      <formula>"Section Complete"</formula>
    </cfRule>
    <cfRule type="cellIs" dxfId="6" priority="229" operator="equal">
      <formula>"Section Incomplete"</formula>
    </cfRule>
  </conditionalFormatting>
  <conditionalFormatting sqref="N33">
    <cfRule type="cellIs" dxfId="5" priority="204" operator="equal">
      <formula>"Section Complete"</formula>
    </cfRule>
    <cfRule type="cellIs" dxfId="4" priority="205" operator="equal">
      <formula>"Section Incomplete"</formula>
    </cfRule>
  </conditionalFormatting>
  <conditionalFormatting sqref="P33">
    <cfRule type="cellIs" dxfId="3" priority="192" operator="equal">
      <formula>"Section Complete"</formula>
    </cfRule>
    <cfRule type="cellIs" dxfId="2" priority="193" operator="equal">
      <formula>"Section Incomplete"</formula>
    </cfRule>
  </conditionalFormatting>
  <conditionalFormatting sqref="D21:D25">
    <cfRule type="cellIs" dxfId="1" priority="2" operator="equal">
      <formula>"Input Glider Name"</formula>
    </cfRule>
  </conditionalFormatting>
  <conditionalFormatting sqref="D22:E25">
    <cfRule type="cellIs" dxfId="0" priority="1" operator="equal">
      <formula>"na"</formula>
    </cfRule>
  </conditionalFormatting>
  <dataValidations count="2">
    <dataValidation type="list" allowBlank="1" showInputMessage="1" showErrorMessage="1" sqref="D19" xr:uid="{B5F0704D-6D56-4206-B253-B7BA611AF08F}">
      <formula1>"1,2,3,4,5"</formula1>
    </dataValidation>
    <dataValidation type="list" showInputMessage="1" showErrorMessage="1" sqref="E21:E25" xr:uid="{53201B07-D3CB-4231-8182-F838D3A3A85B}">
      <formula1>"yes,no,MR?,na"</formula1>
    </dataValidation>
  </dataValidations>
  <hyperlinks>
    <hyperlink ref="C71" r:id="rId1" xr:uid="{511CF1CE-8A48-49D6-861B-DD1C681F5498}"/>
    <hyperlink ref="F96" r:id="rId2" xr:uid="{7684B995-88EA-4477-9263-B30972F54609}"/>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10F4E-B39B-42D9-8F2D-60B0D5FA9A5A}">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F1B5-5516-4E3C-8E7B-A43A58CBA46F}">
  <dimension ref="A1:A11"/>
  <sheetViews>
    <sheetView workbookViewId="0">
      <selection activeCell="D10" sqref="D10"/>
    </sheetView>
  </sheetViews>
  <sheetFormatPr defaultRowHeight="15" x14ac:dyDescent="0.25"/>
  <sheetData>
    <row r="1" spans="1:1" x14ac:dyDescent="0.25">
      <c r="A1" t="s">
        <v>115</v>
      </c>
    </row>
    <row r="2" spans="1:1" x14ac:dyDescent="0.25">
      <c r="A2" t="s">
        <v>116</v>
      </c>
    </row>
    <row r="3" spans="1:1" x14ac:dyDescent="0.25">
      <c r="A3" t="s">
        <v>117</v>
      </c>
    </row>
    <row r="4" spans="1:1" x14ac:dyDescent="0.25">
      <c r="A4" t="s">
        <v>118</v>
      </c>
    </row>
    <row r="5" spans="1:1" x14ac:dyDescent="0.25">
      <c r="A5" t="s">
        <v>119</v>
      </c>
    </row>
    <row r="6" spans="1:1" x14ac:dyDescent="0.25">
      <c r="A6" t="s">
        <v>120</v>
      </c>
    </row>
    <row r="7" spans="1:1" x14ac:dyDescent="0.25">
      <c r="A7" t="s">
        <v>121</v>
      </c>
    </row>
    <row r="8" spans="1:1" x14ac:dyDescent="0.25">
      <c r="A8" t="s">
        <v>122</v>
      </c>
    </row>
    <row r="9" spans="1:1" x14ac:dyDescent="0.25">
      <c r="A9" t="s">
        <v>123</v>
      </c>
    </row>
    <row r="10" spans="1:1" x14ac:dyDescent="0.25">
      <c r="A10" t="s">
        <v>124</v>
      </c>
    </row>
    <row r="11" spans="1:1" x14ac:dyDescent="0.25">
      <c r="A11" t="s">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F3BD7-19DC-4813-9C9C-7E721BC6E0DD}">
  <dimension ref="A1:C46"/>
  <sheetViews>
    <sheetView workbookViewId="0">
      <selection activeCell="B6" sqref="B6"/>
    </sheetView>
  </sheetViews>
  <sheetFormatPr defaultRowHeight="15" x14ac:dyDescent="0.25"/>
  <cols>
    <col min="1" max="1" width="18.7109375" customWidth="1"/>
    <col min="2" max="2" width="16.140625" customWidth="1"/>
    <col min="3" max="3" width="70.28515625" customWidth="1"/>
  </cols>
  <sheetData>
    <row r="1" spans="1:3" x14ac:dyDescent="0.25">
      <c r="A1" s="36" t="s">
        <v>126</v>
      </c>
      <c r="B1" s="36" t="s">
        <v>127</v>
      </c>
      <c r="C1" s="36" t="s">
        <v>128</v>
      </c>
    </row>
    <row r="2" spans="1:3" ht="24.95" customHeight="1" x14ac:dyDescent="0.25">
      <c r="A2" s="35">
        <v>1</v>
      </c>
      <c r="B2" s="35" t="s">
        <v>129</v>
      </c>
      <c r="C2" s="35" t="s">
        <v>130</v>
      </c>
    </row>
    <row r="3" spans="1:3" ht="24.95" customHeight="1" x14ac:dyDescent="0.25">
      <c r="A3" s="35">
        <v>1.1000000000000001</v>
      </c>
      <c r="B3" s="35" t="s">
        <v>131</v>
      </c>
      <c r="C3" s="35" t="s">
        <v>132</v>
      </c>
    </row>
    <row r="4" spans="1:3" ht="24.95" customHeight="1" x14ac:dyDescent="0.25">
      <c r="A4" s="35">
        <v>1.2</v>
      </c>
      <c r="B4" s="35" t="s">
        <v>131</v>
      </c>
      <c r="C4" s="35" t="s">
        <v>133</v>
      </c>
    </row>
    <row r="5" spans="1:3" ht="24.95" customHeight="1" x14ac:dyDescent="0.25">
      <c r="A5" s="35" t="s">
        <v>134</v>
      </c>
      <c r="B5" s="35" t="s">
        <v>135</v>
      </c>
      <c r="C5" s="35" t="s">
        <v>136</v>
      </c>
    </row>
    <row r="6" spans="1:3" ht="24.95" customHeight="1" x14ac:dyDescent="0.25">
      <c r="A6" s="35"/>
      <c r="B6" s="35"/>
      <c r="C6" s="35"/>
    </row>
    <row r="7" spans="1:3" ht="24.95" customHeight="1" x14ac:dyDescent="0.25">
      <c r="A7" s="35"/>
      <c r="B7" s="35"/>
      <c r="C7" s="35"/>
    </row>
    <row r="8" spans="1:3" ht="24.95" customHeight="1" x14ac:dyDescent="0.25">
      <c r="A8" s="35"/>
      <c r="B8" s="35"/>
      <c r="C8" s="35"/>
    </row>
    <row r="9" spans="1:3" ht="24.95" customHeight="1" x14ac:dyDescent="0.25">
      <c r="A9" s="35"/>
      <c r="B9" s="35"/>
      <c r="C9" s="35"/>
    </row>
    <row r="10" spans="1:3" ht="24.95" customHeight="1" x14ac:dyDescent="0.25">
      <c r="A10" s="35"/>
      <c r="B10" s="35"/>
      <c r="C10" s="35"/>
    </row>
    <row r="11" spans="1:3" ht="24.95" customHeight="1" x14ac:dyDescent="0.25">
      <c r="A11" s="35"/>
      <c r="B11" s="35"/>
      <c r="C11" s="35"/>
    </row>
    <row r="12" spans="1:3" ht="24.95" customHeight="1" x14ac:dyDescent="0.25">
      <c r="A12" s="35"/>
      <c r="B12" s="35"/>
      <c r="C12" s="35"/>
    </row>
    <row r="13" spans="1:3" ht="24.95" customHeight="1" x14ac:dyDescent="0.25">
      <c r="A13" s="35"/>
      <c r="B13" s="35"/>
      <c r="C13" s="35"/>
    </row>
    <row r="14" spans="1:3" ht="24.95" customHeight="1" x14ac:dyDescent="0.25">
      <c r="A14" s="35"/>
      <c r="B14" s="35"/>
      <c r="C14" s="35"/>
    </row>
    <row r="15" spans="1:3" ht="24.95" customHeight="1" x14ac:dyDescent="0.25">
      <c r="A15" s="35"/>
      <c r="B15" s="35"/>
      <c r="C15" s="35"/>
    </row>
    <row r="16" spans="1:3" ht="24.95" customHeight="1" x14ac:dyDescent="0.25">
      <c r="A16" s="35"/>
      <c r="B16" s="35"/>
      <c r="C16" s="35"/>
    </row>
    <row r="17" spans="1:3" ht="24.95" customHeight="1" x14ac:dyDescent="0.25">
      <c r="A17" s="35"/>
      <c r="B17" s="35"/>
      <c r="C17" s="35"/>
    </row>
    <row r="18" spans="1:3" ht="24.95" customHeight="1" x14ac:dyDescent="0.25">
      <c r="A18" s="35"/>
      <c r="B18" s="35"/>
      <c r="C18" s="35"/>
    </row>
    <row r="19" spans="1:3" ht="24.95" customHeight="1" x14ac:dyDescent="0.25">
      <c r="A19" s="35"/>
      <c r="B19" s="35"/>
      <c r="C19" s="35"/>
    </row>
    <row r="20" spans="1:3" ht="24.95" customHeight="1" x14ac:dyDescent="0.25">
      <c r="A20" s="35"/>
      <c r="B20" s="35"/>
      <c r="C20" s="35"/>
    </row>
    <row r="21" spans="1:3" ht="24.95" customHeight="1" x14ac:dyDescent="0.25">
      <c r="A21" s="35"/>
      <c r="B21" s="35"/>
      <c r="C21" s="35"/>
    </row>
    <row r="22" spans="1:3" ht="24.95" customHeight="1" x14ac:dyDescent="0.25">
      <c r="A22" s="35"/>
      <c r="B22" s="35"/>
      <c r="C22" s="35"/>
    </row>
    <row r="23" spans="1:3" ht="24.95" customHeight="1" x14ac:dyDescent="0.25">
      <c r="A23" s="35"/>
      <c r="B23" s="35"/>
      <c r="C23" s="35"/>
    </row>
    <row r="24" spans="1:3" ht="24.95" customHeight="1" x14ac:dyDescent="0.25">
      <c r="A24" s="35"/>
      <c r="B24" s="35"/>
      <c r="C24" s="35"/>
    </row>
    <row r="25" spans="1:3" ht="24.95" customHeight="1" x14ac:dyDescent="0.25">
      <c r="A25" s="35"/>
      <c r="B25" s="35"/>
      <c r="C25" s="35"/>
    </row>
    <row r="26" spans="1:3" ht="24.95" customHeight="1" x14ac:dyDescent="0.25">
      <c r="A26" s="35"/>
      <c r="B26" s="35"/>
      <c r="C26" s="35"/>
    </row>
    <row r="27" spans="1:3" ht="24.95" customHeight="1" x14ac:dyDescent="0.25">
      <c r="A27" s="35"/>
      <c r="B27" s="35"/>
      <c r="C27" s="35"/>
    </row>
    <row r="28" spans="1:3" ht="24.95" customHeight="1" x14ac:dyDescent="0.25">
      <c r="A28" s="35"/>
      <c r="B28" s="35"/>
      <c r="C28" s="35"/>
    </row>
    <row r="29" spans="1:3" ht="24.95" customHeight="1" x14ac:dyDescent="0.25">
      <c r="A29" s="35"/>
      <c r="B29" s="35"/>
      <c r="C29" s="35"/>
    </row>
    <row r="30" spans="1:3" ht="24.95" customHeight="1" x14ac:dyDescent="0.25">
      <c r="A30" s="35"/>
      <c r="B30" s="35"/>
      <c r="C30" s="35"/>
    </row>
    <row r="31" spans="1:3" ht="24.95" customHeight="1" x14ac:dyDescent="0.25">
      <c r="A31" s="35"/>
      <c r="B31" s="35"/>
      <c r="C31" s="35"/>
    </row>
    <row r="32" spans="1:3" ht="24.95" customHeight="1" x14ac:dyDescent="0.25">
      <c r="A32" s="35"/>
      <c r="B32" s="35"/>
      <c r="C32" s="35"/>
    </row>
    <row r="33" spans="1:3" ht="24.95" customHeight="1" x14ac:dyDescent="0.25">
      <c r="A33" s="35"/>
      <c r="B33" s="35"/>
      <c r="C33" s="35"/>
    </row>
    <row r="34" spans="1:3" ht="24.95" customHeight="1" x14ac:dyDescent="0.25">
      <c r="A34" s="35"/>
      <c r="B34" s="35"/>
      <c r="C34" s="35"/>
    </row>
    <row r="35" spans="1:3" ht="24.95" customHeight="1" x14ac:dyDescent="0.25">
      <c r="A35" s="35"/>
      <c r="B35" s="35"/>
      <c r="C35" s="35"/>
    </row>
    <row r="36" spans="1:3" ht="24.95" customHeight="1" x14ac:dyDescent="0.25">
      <c r="A36" s="35"/>
      <c r="B36" s="35"/>
      <c r="C36" s="35"/>
    </row>
    <row r="37" spans="1:3" ht="24.95" customHeight="1" x14ac:dyDescent="0.25">
      <c r="A37" s="35"/>
      <c r="B37" s="35"/>
      <c r="C37" s="35"/>
    </row>
    <row r="38" spans="1:3" ht="24.95" customHeight="1" x14ac:dyDescent="0.25">
      <c r="A38" s="35"/>
      <c r="B38" s="35"/>
      <c r="C38" s="35"/>
    </row>
    <row r="39" spans="1:3" ht="24.95" customHeight="1" x14ac:dyDescent="0.25">
      <c r="A39" s="35"/>
      <c r="B39" s="35"/>
      <c r="C39" s="35"/>
    </row>
    <row r="40" spans="1:3" ht="24.95" customHeight="1" x14ac:dyDescent="0.25">
      <c r="A40" s="35"/>
      <c r="B40" s="35"/>
      <c r="C40" s="35"/>
    </row>
    <row r="41" spans="1:3" ht="24.95" customHeight="1" x14ac:dyDescent="0.25">
      <c r="A41" s="35"/>
      <c r="B41" s="35"/>
      <c r="C41" s="35"/>
    </row>
    <row r="42" spans="1:3" ht="24.95" customHeight="1" x14ac:dyDescent="0.25">
      <c r="A42" s="35"/>
      <c r="B42" s="35"/>
      <c r="C42" s="35"/>
    </row>
    <row r="43" spans="1:3" ht="24.95" customHeight="1" x14ac:dyDescent="0.25">
      <c r="A43" s="35"/>
      <c r="B43" s="35"/>
      <c r="C43" s="35"/>
    </row>
    <row r="44" spans="1:3" ht="24.95" customHeight="1" x14ac:dyDescent="0.25">
      <c r="A44" s="35"/>
      <c r="B44" s="35"/>
      <c r="C44" s="35"/>
    </row>
    <row r="45" spans="1:3" ht="24.95" customHeight="1" x14ac:dyDescent="0.25">
      <c r="A45" s="35"/>
      <c r="B45" s="35"/>
      <c r="C45" s="35"/>
    </row>
    <row r="46" spans="1:3" ht="24.95" customHeight="1" x14ac:dyDescent="0.25">
      <c r="A46" s="35"/>
      <c r="B46" s="35"/>
      <c r="C46" s="3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8D84A073997149A3B3DF1230B567EE" ma:contentTypeVersion="22" ma:contentTypeDescription="Create a new document." ma:contentTypeScope="" ma:versionID="9a6247c2fc72353006c64fb4bc064625">
  <xsd:schema xmlns:xsd="http://www.w3.org/2001/XMLSchema" xmlns:xs="http://www.w3.org/2001/XMLSchema" xmlns:p="http://schemas.microsoft.com/office/2006/metadata/properties" xmlns:ns2="f9740006-a54a-4c9b-b636-2d8e4cc28d55" xmlns:ns3="a2159651-9e24-4b3a-b430-143f097d145c" targetNamespace="http://schemas.microsoft.com/office/2006/metadata/properties" ma:root="true" ma:fieldsID="0eb41fcd4053827ae40cf6c5fe8787cf" ns2:_="" ns3:_="">
    <xsd:import namespace="f9740006-a54a-4c9b-b636-2d8e4cc28d55"/>
    <xsd:import namespace="a2159651-9e24-4b3a-b430-143f097d145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Hyperlink"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740006-a54a-4c9b-b636-2d8e4cc28d55"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31aeccf2-2658-4394-8e43-c9510a78722c}" ma:internalName="TaxCatchAll" ma:showField="CatchAllData" ma:web="f9740006-a54a-4c9b-b636-2d8e4cc28d5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2159651-9e24-4b3a-b430-143f097d145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4103c54-015b-42c7-849f-3ec61878366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Hyperlink" ma:index="24"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9740006-a54a-4c9b-b636-2d8e4cc28d55" xsi:nil="true"/>
    <lcf76f155ced4ddcb4097134ff3c332f xmlns="a2159651-9e24-4b3a-b430-143f097d145c">
      <Terms xmlns="http://schemas.microsoft.com/office/infopath/2007/PartnerControls"/>
    </lcf76f155ced4ddcb4097134ff3c332f>
    <Hyperlink xmlns="a2159651-9e24-4b3a-b430-143f097d145c">
      <Url xsi:nil="true"/>
      <Description xsi:nil="true"/>
    </Hyperlink>
  </documentManagement>
</p:properties>
</file>

<file path=customXml/itemProps1.xml><?xml version="1.0" encoding="utf-8"?>
<ds:datastoreItem xmlns:ds="http://schemas.openxmlformats.org/officeDocument/2006/customXml" ds:itemID="{70466B50-CE90-478D-8CC4-F5194FC91851}">
  <ds:schemaRefs>
    <ds:schemaRef ds:uri="http://schemas.microsoft.com/sharepoint/v3/contenttype/forms"/>
  </ds:schemaRefs>
</ds:datastoreItem>
</file>

<file path=customXml/itemProps2.xml><?xml version="1.0" encoding="utf-8"?>
<ds:datastoreItem xmlns:ds="http://schemas.openxmlformats.org/officeDocument/2006/customXml" ds:itemID="{DE239860-4436-49FF-B471-857560DD7C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740006-a54a-4c9b-b636-2d8e4cc28d55"/>
    <ds:schemaRef ds:uri="a2159651-9e24-4b3a-b430-143f097d14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202A8D-392A-4F6C-BD06-DBEFF6BD3960}">
  <ds:schemaRefs>
    <ds:schemaRef ds:uri="http://schemas.microsoft.com/office/2006/metadata/properties"/>
    <ds:schemaRef ds:uri="http://schemas.microsoft.com/office/infopath/2007/PartnerControls"/>
    <ds:schemaRef ds:uri="f9740006-a54a-4c9b-b636-2d8e4cc28d55"/>
    <ds:schemaRef ds:uri="a2159651-9e24-4b3a-b430-143f097d14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Checklist</vt:lpstr>
      <vt:lpstr>automation-nation</vt:lpstr>
      <vt:lpstr>NOTES</vt:lpstr>
      <vt:lpstr>Change Log</vt:lpstr>
      <vt:lpstr>glider1</vt:lpstr>
      <vt:lpstr>glider2</vt:lpstr>
      <vt:lpstr>glider3</vt:lpstr>
      <vt:lpstr>glider4</vt:lpstr>
      <vt:lpstr>glider5</vt:lpstr>
      <vt:lpstr>microrider1</vt:lpstr>
      <vt:lpstr>microrider2</vt:lpstr>
      <vt:lpstr>microrider3</vt:lpstr>
      <vt:lpstr>microrider4</vt:lpstr>
      <vt:lpstr>microrider5</vt:lpstr>
      <vt:lpstr>num_gliders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Cerra, Alexander</dc:creator>
  <cp:keywords/>
  <dc:description/>
  <cp:lastModifiedBy>Ollie Twigge</cp:lastModifiedBy>
  <cp:revision/>
  <dcterms:created xsi:type="dcterms:W3CDTF">2023-03-17T18:06:21Z</dcterms:created>
  <dcterms:modified xsi:type="dcterms:W3CDTF">2025-04-17T01:49:23Z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0x010100EC8D84A073997149A3B3DF1230B567EE</vt:lpwstr>
  </property>
  <property fmtid="{D5CDD505-2E9C-101B-9397-08002B2CF9AE}" pid="3" name="MediaServiceImageTags">
    <vt:lpwstr/>
  </property>
</Properties>
</file>