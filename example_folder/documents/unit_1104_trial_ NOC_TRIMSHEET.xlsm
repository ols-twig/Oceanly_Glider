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G:\.shortcut-targets-by-id\1Z7PX__ZLrJ6oL2wHtDtiATh5eAh4Cgg3\Oceanly Science\Instrumentation\Ocean glider\Slocum Training material 2025\"/>
    </mc:Choice>
  </mc:AlternateContent>
  <xr:revisionPtr revIDLastSave="0" documentId="13_ncr:1_{E114DD5C-7C9B-41EE-99A0-7E042DC4A977}" xr6:coauthVersionLast="47" xr6:coauthVersionMax="47" xr10:uidLastSave="{00000000-0000-0000-0000-000000000000}"/>
  <bookViews>
    <workbookView xWindow="-120" yWindow="-120" windowWidth="29040" windowHeight="15720" tabRatio="813" activeTab="6" xr2:uid="{00000000-000D-0000-FFFF-FFFF00000000}"/>
  </bookViews>
  <sheets>
    <sheet name="Ballast" sheetId="1" r:id="rId1"/>
    <sheet name="DensityCalc" sheetId="22" state="hidden" r:id="rId2"/>
    <sheet name="Constants" sheetId="6" state="hidden" r:id="rId3"/>
    <sheet name="Worksheet" sheetId="4" r:id="rId4"/>
    <sheet name="G1" sheetId="15" r:id="rId5"/>
    <sheet name="G2" sheetId="17" r:id="rId6"/>
    <sheet name="G3" sheetId="20" r:id="rId7"/>
    <sheet name="G3 (External Only)" sheetId="21" r:id="rId8"/>
    <sheet name="Revision History" sheetId="14" state="hidden" r:id="rId9"/>
  </sheets>
  <definedNames>
    <definedName name="_xleta.IF" hidden="1" xlm="1">#NAME?</definedName>
    <definedName name="_xleta.NOT" hidden="1" xlm="1">#NAME?</definedName>
    <definedName name="_xleta.OR" hidden="1" xlm="1">#NAME?</definedName>
    <definedName name="Advanced">Ballast!$C$35</definedName>
    <definedName name="aft_config" localSheetId="5">Constants!$G$3:$G$7</definedName>
    <definedName name="aft_config" localSheetId="6">Constants!$G$3:$G$7</definedName>
    <definedName name="aft_config" localSheetId="7">Constants!$G$3:$G$7</definedName>
    <definedName name="aft_config">Constants!$E$2:$E$6</definedName>
    <definedName name="battery_type" localSheetId="5">Constants!$F$3:$F$4</definedName>
    <definedName name="battery_type" localSheetId="6">Constants!$F$3:$F$4</definedName>
    <definedName name="battery_type" localSheetId="7">Constants!$F$3:$F$4</definedName>
    <definedName name="battery_type">Constants!$D$2:$D$3</definedName>
    <definedName name="Bays">Constants!$H$79:$H$83</definedName>
    <definedName name="Double_O_Ring" localSheetId="6">Ballast!#REF!</definedName>
    <definedName name="Double_O_Ring" localSheetId="7">Ballast!#REF!</definedName>
    <definedName name="Double_O_Ring">Ballast!#REF!</definedName>
    <definedName name="ES_Shallow__100m">Constants!$E$77</definedName>
    <definedName name="G1_Deep__1000m" localSheetId="7">Constants!#REF!</definedName>
    <definedName name="G1_Deep__1000m">Constants!#REF!</definedName>
    <definedName name="G1_Picture">INDIRECT(Constants!$A$78)</definedName>
    <definedName name="G1_Shallow__200m" localSheetId="7">Constants!#REF!</definedName>
    <definedName name="G1_Shallow__200m">Constants!#REF!</definedName>
    <definedName name="G2_Deep__1000m" localSheetId="2">Constants!#REF!</definedName>
    <definedName name="G2_Deep__1000m">Ballast!$C$29</definedName>
    <definedName name="G2_Picture">INDIRECT(Constants!$B$78)</definedName>
    <definedName name="G2_Shallow____200m" localSheetId="7">Constants!#REF!</definedName>
    <definedName name="G2_Shallow____200m">Constants!#REF!</definedName>
    <definedName name="G3_Deep">Constants!$G$77</definedName>
    <definedName name="G3_Picture">INDIRECT(Constants!$C$78)</definedName>
    <definedName name="G3_Shallow">Constants!$F$77</definedName>
    <definedName name="G3_UHD">Constants!$H$77</definedName>
    <definedName name="G3Ext_Picture">INDIRECT(Constants!$D$78)</definedName>
    <definedName name="glider_type">Constants!$A$2:$A$9</definedName>
    <definedName name="nose_config" localSheetId="5">Constants!$H$3:$H$5</definedName>
    <definedName name="nose_config" localSheetId="6">Constants!$H$3:$H$5</definedName>
    <definedName name="nose_config" localSheetId="7">Constants!$H$3:$H$5</definedName>
    <definedName name="nose_config">Constants!$G$2:$G$5</definedName>
    <definedName name="Pick_Point" localSheetId="2">Ballast!$C$29</definedName>
    <definedName name="Pick_Point" localSheetId="6">Constants!#REF!</definedName>
    <definedName name="Pick_Point" localSheetId="7">Constants!#REF!</definedName>
    <definedName name="Pick_Point">Constants!#REF!</definedName>
    <definedName name="Picture_1">Constants!$A$79</definedName>
    <definedName name="Picture_2">Constants!$A$80</definedName>
    <definedName name="Picture_3">Constants!$C$79</definedName>
    <definedName name="Picture_4">Constants!$C$80</definedName>
    <definedName name="Picture_5">Constants!$F$79</definedName>
    <definedName name="Picture_6">Constants!$F$80</definedName>
    <definedName name="Picture_7">Constants!$I$79</definedName>
    <definedName name="Picture_8">Constants!$I$80</definedName>
    <definedName name="Pinger">Constants!$L$2:$L$7</definedName>
    <definedName name="pinger_style">Constants!$K$3:$K$7</definedName>
    <definedName name="Pinger_Weights">Constants!$L$2:$L$7</definedName>
    <definedName name="pond_weights">Ballast!$C$28</definedName>
    <definedName name="pond_wings">Constants!$I$2:$I$5</definedName>
    <definedName name="_xlnm.Print_Area" localSheetId="0">Ballast!$A$1:$H$55</definedName>
    <definedName name="_xlnm.Print_Area" localSheetId="4">'G1'!$A$1:$E$67</definedName>
    <definedName name="_xlnm.Print_Area" localSheetId="5">'G2'!$A$1:$E$67</definedName>
    <definedName name="_xlnm.Print_Area" localSheetId="6">'G3'!$A$1:$E$72</definedName>
    <definedName name="_xlnm.Print_Area" localSheetId="7">'G3 (External Only)'!$A$1:$E$59</definedName>
    <definedName name="_xlnm.Print_Area" localSheetId="8">'Revision History'!$A$1:$D$30</definedName>
    <definedName name="_xlnm.Print_Area" localSheetId="3">Worksheet!$A$1:$H$83</definedName>
    <definedName name="_xlnm.Print_Titles" localSheetId="0">Ballast!$1:$5</definedName>
    <definedName name="Thruster">Ballast!$C$28</definedName>
    <definedName name="Volumes">Ballast!$M$19:$N$20</definedName>
    <definedName name="weight_type" localSheetId="5">Constants!$I$3:$I$4</definedName>
    <definedName name="weight_type" localSheetId="6">Constants!$I$3:$I$4</definedName>
    <definedName name="weight_type" localSheetId="7">Constants!$I$3:$I$4</definedName>
    <definedName name="weight_type">Constants!$H$2:$H$3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8" i="1" l="1"/>
  <c r="E48" i="1"/>
  <c r="C48" i="1"/>
  <c r="C45" i="1"/>
  <c r="H56" i="1"/>
  <c r="H53" i="1"/>
  <c r="H55" i="1" s="1"/>
  <c r="B83" i="15"/>
  <c r="B82" i="15"/>
  <c r="B46" i="17"/>
  <c r="C51" i="17"/>
  <c r="C54" i="20"/>
  <c r="C49" i="20"/>
  <c r="E38" i="1"/>
  <c r="F37" i="15"/>
  <c r="F38" i="15"/>
  <c r="F39" i="15"/>
  <c r="F40" i="15"/>
  <c r="F41" i="15"/>
  <c r="F38" i="20"/>
  <c r="F39" i="20"/>
  <c r="F40" i="20"/>
  <c r="F41" i="20"/>
  <c r="A68" i="20"/>
  <c r="A66" i="20"/>
  <c r="A64" i="17"/>
  <c r="A62" i="17"/>
  <c r="F40" i="17"/>
  <c r="F38" i="17"/>
  <c r="A63" i="15"/>
  <c r="A61" i="15"/>
  <c r="E2" i="21"/>
  <c r="E18" i="1"/>
  <c r="A4" i="21"/>
  <c r="A4" i="20"/>
  <c r="A4" i="17"/>
  <c r="J26" i="21"/>
  <c r="J26" i="20"/>
  <c r="J26" i="15"/>
  <c r="J26" i="17"/>
  <c r="B63" i="20"/>
  <c r="B59" i="17"/>
  <c r="H57" i="1" l="1"/>
  <c r="B58" i="17"/>
  <c r="B62" i="20" l="1"/>
  <c r="C53" i="15" l="1"/>
  <c r="C63" i="15" l="1"/>
  <c r="D40" i="15" s="1"/>
  <c r="C61" i="15"/>
  <c r="D38" i="15" s="1"/>
  <c r="C51" i="1"/>
  <c r="C82" i="4" l="1"/>
  <c r="J25" i="1" l="1"/>
  <c r="J32" i="1" s="1"/>
  <c r="L44" i="21"/>
  <c r="L42" i="21"/>
  <c r="L41" i="21"/>
  <c r="L40" i="21"/>
  <c r="L39" i="21"/>
  <c r="L44" i="20"/>
  <c r="L42" i="20"/>
  <c r="L41" i="20"/>
  <c r="L40" i="20"/>
  <c r="L39" i="20"/>
  <c r="L44" i="17"/>
  <c r="L42" i="17"/>
  <c r="L41" i="17"/>
  <c r="L40" i="17"/>
  <c r="L39" i="17"/>
  <c r="D78" i="6" l="1"/>
  <c r="C78" i="6"/>
  <c r="B78" i="6"/>
  <c r="A78" i="6"/>
  <c r="E19" i="1" l="1"/>
  <c r="D20" i="1"/>
  <c r="D21" i="1"/>
  <c r="D22" i="1"/>
  <c r="L44" i="15" l="1"/>
  <c r="L42" i="15"/>
  <c r="L41" i="15"/>
  <c r="L40" i="15"/>
  <c r="L39" i="15"/>
  <c r="J19" i="21" l="1"/>
  <c r="J18" i="21"/>
  <c r="J19" i="20"/>
  <c r="J18" i="20"/>
  <c r="J19" i="17"/>
  <c r="J18" i="17"/>
  <c r="G18" i="4" l="1"/>
  <c r="G16" i="4"/>
  <c r="T3" i="6" l="1"/>
  <c r="U3" i="6" l="1"/>
  <c r="K46" i="1"/>
  <c r="E7" i="22" s="1"/>
  <c r="G79" i="22" s="1"/>
  <c r="T2" i="6"/>
  <c r="U2" i="6"/>
  <c r="C37" i="1" s="1"/>
  <c r="E6" i="22"/>
  <c r="H37" i="22" s="1"/>
  <c r="E5" i="22"/>
  <c r="H34" i="22" s="1"/>
  <c r="H38" i="22" l="1"/>
  <c r="G84" i="22"/>
  <c r="G90" i="22" s="1"/>
  <c r="G86" i="22"/>
  <c r="G87" i="22"/>
  <c r="G88" i="22"/>
  <c r="G83" i="22"/>
  <c r="G89" i="22" s="1"/>
  <c r="H36" i="22"/>
  <c r="B62" i="6"/>
  <c r="B63" i="6"/>
  <c r="H40" i="22" l="1"/>
  <c r="G92" i="22"/>
  <c r="E26" i="21"/>
  <c r="E25" i="21"/>
  <c r="E26" i="20"/>
  <c r="E25" i="20"/>
  <c r="E26" i="17"/>
  <c r="E25" i="17"/>
  <c r="E25" i="15"/>
  <c r="E26" i="15"/>
  <c r="C25" i="15"/>
  <c r="D38" i="1"/>
  <c r="B93" i="6"/>
  <c r="C46" i="1" l="1"/>
  <c r="H54" i="1"/>
  <c r="E46" i="1"/>
  <c r="G96" i="22"/>
  <c r="K47" i="1" s="1"/>
  <c r="C26" i="15"/>
  <c r="K31" i="1"/>
  <c r="J31" i="1"/>
  <c r="E18" i="15"/>
  <c r="J19" i="15"/>
  <c r="J18" i="15"/>
  <c r="E19" i="15"/>
  <c r="G15" i="4"/>
  <c r="C47" i="1" l="1"/>
  <c r="G17" i="4"/>
  <c r="C11" i="4"/>
  <c r="D56" i="6" l="1"/>
  <c r="B34" i="21"/>
  <c r="C48" i="21"/>
  <c r="C47" i="21"/>
  <c r="C7" i="21"/>
  <c r="C37" i="21"/>
  <c r="F37" i="21" s="1"/>
  <c r="F36" i="21"/>
  <c r="B36" i="21"/>
  <c r="F35" i="21"/>
  <c r="B35" i="21"/>
  <c r="E19" i="21"/>
  <c r="E18" i="21"/>
  <c r="B8" i="21"/>
  <c r="B7" i="21"/>
  <c r="E4" i="21"/>
  <c r="E3" i="21"/>
  <c r="E1" i="21"/>
  <c r="A41" i="6"/>
  <c r="A38" i="6"/>
  <c r="A39" i="6"/>
  <c r="A40" i="6"/>
  <c r="C57" i="6"/>
  <c r="B6" i="6" l="1"/>
  <c r="B7" i="6" s="1"/>
  <c r="B8" i="6" s="1"/>
  <c r="C7" i="20"/>
  <c r="C6" i="15"/>
  <c r="C7" i="17"/>
  <c r="B60" i="6"/>
  <c r="C60" i="6"/>
  <c r="A35" i="20"/>
  <c r="B49" i="20"/>
  <c r="C53" i="20"/>
  <c r="E18" i="17"/>
  <c r="B61" i="6" l="1"/>
  <c r="B64" i="6"/>
  <c r="A34" i="17"/>
  <c r="A46" i="17" l="1"/>
  <c r="C50" i="17"/>
  <c r="B49" i="6"/>
  <c r="A49" i="6" s="1"/>
  <c r="B46" i="6" l="1"/>
  <c r="B45" i="6"/>
  <c r="A45" i="6" s="1"/>
  <c r="B48" i="6"/>
  <c r="A48" i="6" s="1"/>
  <c r="B47" i="6"/>
  <c r="A47" i="6" s="1"/>
  <c r="D34" i="1" l="1"/>
  <c r="C34" i="1"/>
  <c r="B68" i="6"/>
  <c r="B34" i="17"/>
  <c r="C83" i="4" l="1"/>
  <c r="C44" i="17"/>
  <c r="C47" i="20"/>
  <c r="B44" i="20"/>
  <c r="F46" i="20" l="1"/>
  <c r="F45" i="20"/>
  <c r="B46" i="20"/>
  <c r="B45" i="20"/>
  <c r="B34" i="20"/>
  <c r="F47" i="20"/>
  <c r="F44" i="20"/>
  <c r="F43" i="20"/>
  <c r="B43" i="20"/>
  <c r="F42" i="20"/>
  <c r="B42" i="20"/>
  <c r="B38" i="20"/>
  <c r="F37" i="20"/>
  <c r="B37" i="20"/>
  <c r="A37" i="20"/>
  <c r="F36" i="20"/>
  <c r="B36" i="20"/>
  <c r="F35" i="20"/>
  <c r="B35" i="20"/>
  <c r="E19" i="20"/>
  <c r="E18" i="20"/>
  <c r="B8" i="20"/>
  <c r="B7" i="20"/>
  <c r="E4" i="20"/>
  <c r="E3" i="20"/>
  <c r="E2" i="20"/>
  <c r="E1" i="20"/>
  <c r="A36" i="17"/>
  <c r="B40" i="20" l="1"/>
  <c r="B37" i="6" l="1"/>
  <c r="B44" i="6"/>
  <c r="B42" i="6"/>
  <c r="C37" i="6" l="1"/>
  <c r="D37" i="6" s="1"/>
  <c r="C42" i="6"/>
  <c r="D42" i="6" s="1"/>
  <c r="B57" i="15"/>
  <c r="B59" i="6"/>
  <c r="B58" i="6"/>
  <c r="B57" i="6"/>
  <c r="C36" i="6"/>
  <c r="D36" i="6" s="1"/>
  <c r="C43" i="6"/>
  <c r="D43" i="6" s="1"/>
  <c r="C14" i="6"/>
  <c r="C15" i="6"/>
  <c r="C44" i="6"/>
  <c r="D44" i="6" s="1"/>
  <c r="D28" i="1" l="1"/>
  <c r="D14" i="6"/>
  <c r="C48" i="6"/>
  <c r="D48" i="6" s="1"/>
  <c r="C40" i="6"/>
  <c r="D40" i="6" s="1"/>
  <c r="C41" i="6"/>
  <c r="C39" i="6"/>
  <c r="D39" i="6" s="1"/>
  <c r="B66" i="6" s="1"/>
  <c r="C38" i="6"/>
  <c r="D38" i="6" s="1"/>
  <c r="C49" i="6"/>
  <c r="D49" i="6" s="1"/>
  <c r="C47" i="6"/>
  <c r="D47" i="6" s="1"/>
  <c r="C46" i="6"/>
  <c r="D46" i="6" s="1"/>
  <c r="C45" i="6"/>
  <c r="D45" i="6" s="1"/>
  <c r="D15" i="6"/>
  <c r="C16" i="6"/>
  <c r="D16" i="6" s="1"/>
  <c r="C17" i="6"/>
  <c r="D17" i="6" s="1"/>
  <c r="C18" i="6"/>
  <c r="D18" i="6" s="1"/>
  <c r="C19" i="6"/>
  <c r="D19" i="6" s="1"/>
  <c r="C20" i="6"/>
  <c r="D20" i="6" s="1"/>
  <c r="C21" i="6"/>
  <c r="D21" i="6" s="1"/>
  <c r="B5" i="6" l="1"/>
  <c r="D41" i="6"/>
  <c r="I43" i="6"/>
  <c r="D68" i="6"/>
  <c r="B67" i="6"/>
  <c r="D67" i="6" s="1"/>
  <c r="B65" i="6"/>
  <c r="D66" i="6"/>
  <c r="B4" i="6"/>
  <c r="B2" i="6"/>
  <c r="C50" i="6"/>
  <c r="D50" i="6" s="1"/>
  <c r="C31" i="1" l="1"/>
  <c r="B58" i="21"/>
  <c r="C75" i="20"/>
  <c r="B57" i="21"/>
  <c r="B69" i="6"/>
  <c r="D65" i="6"/>
  <c r="D69" i="6" s="1"/>
  <c r="B60" i="17"/>
  <c r="B61" i="17" s="1"/>
  <c r="B64" i="20"/>
  <c r="B65" i="20" s="1"/>
  <c r="B70" i="20" s="1"/>
  <c r="B71" i="20" s="1"/>
  <c r="C54" i="17" l="1"/>
  <c r="C52" i="21"/>
  <c r="C58" i="21" s="1"/>
  <c r="D36" i="21" s="1"/>
  <c r="C57" i="20"/>
  <c r="B63" i="17"/>
  <c r="B67" i="20"/>
  <c r="C32" i="1"/>
  <c r="B65" i="17"/>
  <c r="B66" i="17"/>
  <c r="B67" i="17" s="1"/>
  <c r="A58" i="15"/>
  <c r="B58" i="15"/>
  <c r="C66" i="20" l="1"/>
  <c r="D39" i="20" s="1"/>
  <c r="C67" i="20"/>
  <c r="D40" i="20" s="1"/>
  <c r="C68" i="20"/>
  <c r="D41" i="20" s="1"/>
  <c r="C63" i="17"/>
  <c r="D39" i="17" s="1"/>
  <c r="C26" i="17"/>
  <c r="C64" i="17"/>
  <c r="D40" i="17" s="1"/>
  <c r="C62" i="17"/>
  <c r="D38" i="17" s="1"/>
  <c r="C25" i="17"/>
  <c r="C26" i="21"/>
  <c r="C25" i="21"/>
  <c r="C25" i="20"/>
  <c r="C26" i="20"/>
  <c r="C57" i="21"/>
  <c r="D35" i="21" s="1"/>
  <c r="C56" i="21"/>
  <c r="D34" i="21" s="1"/>
  <c r="C64" i="20"/>
  <c r="D37" i="20" s="1"/>
  <c r="C61" i="20"/>
  <c r="D34" i="20" s="1"/>
  <c r="C62" i="20"/>
  <c r="D35" i="20" s="1"/>
  <c r="C63" i="20"/>
  <c r="D36" i="20" s="1"/>
  <c r="B69" i="20"/>
  <c r="C69" i="20" s="1"/>
  <c r="D42" i="20" s="1"/>
  <c r="C65" i="20"/>
  <c r="D38" i="20" s="1"/>
  <c r="F44" i="17"/>
  <c r="F43" i="17"/>
  <c r="B43" i="17"/>
  <c r="F42" i="17"/>
  <c r="B42" i="17"/>
  <c r="F41" i="17"/>
  <c r="F39" i="17"/>
  <c r="F37" i="17"/>
  <c r="F36" i="17"/>
  <c r="F35" i="17"/>
  <c r="B35" i="17"/>
  <c r="F34" i="17"/>
  <c r="E19" i="17"/>
  <c r="B8" i="17"/>
  <c r="B7" i="17"/>
  <c r="E4" i="17"/>
  <c r="E3" i="17"/>
  <c r="E2" i="17"/>
  <c r="E1" i="17"/>
  <c r="D37" i="21" l="1"/>
  <c r="C28" i="21"/>
  <c r="C28" i="20"/>
  <c r="B72" i="20"/>
  <c r="C72" i="20" s="1"/>
  <c r="C70" i="20"/>
  <c r="D43" i="20" s="1"/>
  <c r="B37" i="17"/>
  <c r="B36" i="17"/>
  <c r="B41" i="17"/>
  <c r="B39" i="17"/>
  <c r="B48" i="21" l="1"/>
  <c r="B46" i="21"/>
  <c r="C46" i="21"/>
  <c r="B47" i="21"/>
  <c r="B73" i="20"/>
  <c r="C73" i="20" s="1"/>
  <c r="D46" i="20" s="1"/>
  <c r="C71" i="20"/>
  <c r="D44" i="20" s="1"/>
  <c r="D45" i="20"/>
  <c r="C65" i="17"/>
  <c r="D41" i="17" s="1"/>
  <c r="C66" i="17"/>
  <c r="D42" i="17" s="1"/>
  <c r="C58" i="17"/>
  <c r="C59" i="17"/>
  <c r="D35" i="17" s="1"/>
  <c r="C60" i="17"/>
  <c r="D36" i="17" s="1"/>
  <c r="C61" i="17"/>
  <c r="D37" i="17" s="1"/>
  <c r="C67" i="17"/>
  <c r="B60" i="15"/>
  <c r="B66" i="15"/>
  <c r="D47" i="20" l="1"/>
  <c r="C28" i="17"/>
  <c r="D34" i="17"/>
  <c r="D43" i="17"/>
  <c r="B65" i="15"/>
  <c r="B35" i="15"/>
  <c r="B64" i="15"/>
  <c r="B59" i="15"/>
  <c r="B62" i="15"/>
  <c r="A4" i="15"/>
  <c r="C50" i="15"/>
  <c r="C49" i="15"/>
  <c r="C44" i="15"/>
  <c r="F44" i="15" s="1"/>
  <c r="F43" i="15"/>
  <c r="B43" i="15"/>
  <c r="F42" i="15"/>
  <c r="B42" i="15"/>
  <c r="B41" i="15"/>
  <c r="B39" i="15"/>
  <c r="B37" i="15"/>
  <c r="F36" i="15"/>
  <c r="B36" i="15"/>
  <c r="F35" i="15"/>
  <c r="F34" i="15"/>
  <c r="B34" i="15"/>
  <c r="B7" i="15"/>
  <c r="B6" i="15"/>
  <c r="E4" i="15"/>
  <c r="E3" i="15"/>
  <c r="E2" i="15"/>
  <c r="E1" i="15"/>
  <c r="B53" i="20" l="1"/>
  <c r="B54" i="20"/>
  <c r="B52" i="20"/>
  <c r="C52" i="20"/>
  <c r="D44" i="17"/>
  <c r="B49" i="17" s="1"/>
  <c r="C66" i="15"/>
  <c r="B86" i="15" s="1"/>
  <c r="A35" i="15"/>
  <c r="C59" i="15"/>
  <c r="D36" i="15" s="1"/>
  <c r="C58" i="15"/>
  <c r="D35" i="15" s="1"/>
  <c r="C64" i="15"/>
  <c r="D41" i="15" s="1"/>
  <c r="C60" i="15"/>
  <c r="D37" i="15" s="1"/>
  <c r="C65" i="15"/>
  <c r="D42" i="15" s="1"/>
  <c r="C57" i="15"/>
  <c r="B85" i="15" s="1"/>
  <c r="C62" i="15"/>
  <c r="D39" i="15" s="1"/>
  <c r="B50" i="17" l="1"/>
  <c r="B51" i="17"/>
  <c r="C49" i="17"/>
  <c r="D43" i="15"/>
  <c r="D34" i="15"/>
  <c r="C28" i="15"/>
  <c r="D44" i="15" l="1"/>
  <c r="B48" i="15" s="1"/>
  <c r="B50" i="15" l="1"/>
  <c r="C48" i="15"/>
  <c r="B49" i="15"/>
  <c r="C7" i="4" l="1"/>
  <c r="C9" i="4" l="1"/>
  <c r="C8" i="4"/>
  <c r="G4" i="4" l="1"/>
  <c r="G3" i="4"/>
  <c r="G2" i="4"/>
  <c r="G1" i="4"/>
  <c r="B3" i="6" l="1"/>
  <c r="G10" i="4"/>
  <c r="G9" i="4"/>
  <c r="C16" i="4"/>
  <c r="C15" i="4"/>
  <c r="E47" i="1" l="1"/>
  <c r="C17" i="4"/>
  <c r="G11" i="4"/>
  <c r="J33" i="1" l="1"/>
  <c r="C18" i="4"/>
  <c r="G12" i="4"/>
  <c r="C36" i="1" l="1"/>
  <c r="G41" i="1" s="1"/>
  <c r="J20" i="20" l="1"/>
  <c r="J20" i="21"/>
  <c r="M50" i="1"/>
  <c r="J20" i="17"/>
  <c r="C10" i="4"/>
  <c r="M47" i="1"/>
  <c r="M41" i="1"/>
  <c r="J20" i="15"/>
  <c r="G47" i="1"/>
  <c r="J22" i="15" l="1"/>
  <c r="J22" i="21"/>
  <c r="J27" i="21" s="1"/>
  <c r="J22" i="20"/>
  <c r="M48" i="1"/>
  <c r="J21" i="17"/>
  <c r="J23" i="17" s="1"/>
  <c r="J21" i="20"/>
  <c r="J23" i="20" s="1"/>
  <c r="J21" i="21"/>
  <c r="J23" i="21" s="1"/>
  <c r="J22" i="17"/>
  <c r="J21" i="15"/>
  <c r="J23" i="15" s="1"/>
  <c r="G48" i="1"/>
  <c r="C20" i="20" s="1"/>
  <c r="C51" i="20" s="1"/>
  <c r="J29" i="21" l="1"/>
  <c r="J30" i="21"/>
  <c r="J27" i="20"/>
  <c r="J28" i="20"/>
  <c r="J29" i="20"/>
  <c r="J30" i="20"/>
  <c r="J28" i="21"/>
  <c r="J28" i="17"/>
  <c r="J27" i="17"/>
  <c r="J30" i="17"/>
  <c r="J29" i="17"/>
  <c r="J28" i="15"/>
  <c r="J27" i="15"/>
  <c r="J30" i="15"/>
  <c r="J29" i="15"/>
  <c r="C20" i="15"/>
  <c r="B47" i="15" s="1"/>
  <c r="B21" i="20"/>
  <c r="B51" i="20"/>
  <c r="C21" i="20"/>
  <c r="C20" i="21"/>
  <c r="C21" i="21" s="1"/>
  <c r="B49" i="21" s="1"/>
  <c r="C20" i="17"/>
  <c r="C48" i="17" s="1"/>
  <c r="C47" i="15" l="1"/>
  <c r="C21" i="15"/>
  <c r="B21" i="15"/>
  <c r="B21" i="17"/>
  <c r="B48" i="17"/>
  <c r="B21" i="21"/>
  <c r="C45" i="21"/>
  <c r="B45" i="21"/>
  <c r="C21" i="17"/>
  <c r="D53" i="1"/>
  <c r="D51" i="1"/>
  <c r="J38" i="17" s="1"/>
  <c r="J43" i="17" s="1"/>
  <c r="J45" i="17" s="1"/>
  <c r="D54" i="1"/>
  <c r="D52" i="1"/>
  <c r="J38" i="15" l="1"/>
  <c r="L38" i="15" s="1"/>
  <c r="J38" i="21"/>
  <c r="L38" i="17"/>
  <c r="J38" i="20"/>
  <c r="J43" i="15" l="1"/>
  <c r="J45" i="15" s="1"/>
  <c r="J43" i="21"/>
  <c r="J45" i="21" s="1"/>
  <c r="L38" i="21"/>
  <c r="J43" i="20"/>
  <c r="J45" i="20" s="1"/>
  <c r="L38" i="20"/>
  <c r="C12" i="4" l="1"/>
</calcChain>
</file>

<file path=xl/sharedStrings.xml><?xml version="1.0" encoding="utf-8"?>
<sst xmlns="http://schemas.openxmlformats.org/spreadsheetml/2006/main" count="934" uniqueCount="477">
  <si>
    <t>Document #:</t>
  </si>
  <si>
    <t>4095-GBPSH</t>
  </si>
  <si>
    <t>Rev:</t>
  </si>
  <si>
    <t>Date:</t>
  </si>
  <si>
    <t>ECO #:</t>
  </si>
  <si>
    <t>Ballasting The Slocum Glider (Spreadsheet)</t>
  </si>
  <si>
    <t>Reference Ballasting Procedure 4095-GBP</t>
  </si>
  <si>
    <t>Glider Name/Serial Number:</t>
  </si>
  <si>
    <t>Includes ballast mass adjustment</t>
  </si>
  <si>
    <t>Weight in water volume calculation method:</t>
  </si>
  <si>
    <t>Ballasted by:</t>
  </si>
  <si>
    <t>Mass (g)</t>
  </si>
  <si>
    <t>Individual Glider Masses</t>
  </si>
  <si>
    <t>Glider dry weight</t>
  </si>
  <si>
    <t>&lt;- All-up, including wings, batteries etc. (caps removed)</t>
  </si>
  <si>
    <t>Glider Type:</t>
  </si>
  <si>
    <t>G2 Deep (1000m)</t>
  </si>
  <si>
    <t>Update worksheet tab, scale weights and total glider weight before proceeding</t>
  </si>
  <si>
    <t>Ballast adjustments (iteration 1)</t>
  </si>
  <si>
    <t>&lt;- Sum of mass changes made with each iteration of tank ballasting. Clear if ballasting from scratch</t>
  </si>
  <si>
    <t>Add-ons for Standard Method
(check box for each)</t>
  </si>
  <si>
    <t>FWD Hull</t>
  </si>
  <si>
    <t>Ballast adjustments (iteration 2)</t>
  </si>
  <si>
    <t>AFT Hull</t>
  </si>
  <si>
    <t>Ballast adjustments (iteration 3)</t>
  </si>
  <si>
    <t>Primary Payload Bay</t>
  </si>
  <si>
    <t>Ballast adjustments (iteration 4)</t>
  </si>
  <si>
    <t>Secondary Payload Bay</t>
  </si>
  <si>
    <t>Mark III Aft End Cap</t>
  </si>
  <si>
    <t>Rockland Scientific Microrider</t>
  </si>
  <si>
    <t>SUNA Nitrate Sensor</t>
  </si>
  <si>
    <t>Sonar Dome Recovery System</t>
  </si>
  <si>
    <t>Summed glider dry weight</t>
  </si>
  <si>
    <t>Pond Wings</t>
  </si>
  <si>
    <t>Pinger</t>
  </si>
  <si>
    <t>Aft Battery</t>
  </si>
  <si>
    <t>Thruster</t>
  </si>
  <si>
    <t xml:space="preserve">      Installed             Dummy</t>
  </si>
  <si>
    <t>Pitch Battery</t>
  </si>
  <si>
    <t>Pick Point</t>
  </si>
  <si>
    <t>Extended Battery</t>
  </si>
  <si>
    <t>Insert Glider-Specific Volume Adjustment Here (L)</t>
  </si>
  <si>
    <t>Emergency Batteries</t>
  </si>
  <si>
    <t>Base Glider Displacement:</t>
  </si>
  <si>
    <t>Litres</t>
  </si>
  <si>
    <t xml:space="preserve">Glider weight in water </t>
  </si>
  <si>
    <t>Total Glider Displacement:</t>
  </si>
  <si>
    <t>Scale Glider Mass (kg)</t>
  </si>
  <si>
    <t>&lt;-- Scale weight of fuly assembled glider in air</t>
  </si>
  <si>
    <t>Glider Volume (L)</t>
  </si>
  <si>
    <t>Hull compressibility</t>
  </si>
  <si>
    <r>
      <t xml:space="preserve">Perfered volume calculation method                                    </t>
    </r>
    <r>
      <rPr>
        <b/>
        <sz val="8"/>
        <rFont val="Arial"/>
        <family val="2"/>
      </rPr>
      <t>(select from drop down menu)</t>
    </r>
  </si>
  <si>
    <t>Weight in water</t>
  </si>
  <si>
    <t>Thermal Expansion Coefficient</t>
  </si>
  <si>
    <r>
      <t>L/</t>
    </r>
    <r>
      <rPr>
        <vertAlign val="superscript"/>
        <sz val="10"/>
        <rFont val="Arial"/>
        <family val="2"/>
      </rPr>
      <t>o</t>
    </r>
    <r>
      <rPr>
        <sz val="10"/>
        <rFont val="Arial"/>
        <family val="2"/>
      </rPr>
      <t>C</t>
    </r>
  </si>
  <si>
    <r>
      <t xml:space="preserve">Tank salt correction factor    </t>
    </r>
    <r>
      <rPr>
        <b/>
        <sz val="8"/>
        <rFont val="Arial"/>
        <family val="2"/>
      </rPr>
      <t>(select from drop down menu)</t>
    </r>
  </si>
  <si>
    <t>NOC Corrected</t>
  </si>
  <si>
    <t>Target Surface Water</t>
  </si>
  <si>
    <t>Mass Change</t>
  </si>
  <si>
    <t>Target Deep Water</t>
  </si>
  <si>
    <t>Temperature and</t>
  </si>
  <si>
    <r>
      <t>o</t>
    </r>
    <r>
      <rPr>
        <sz val="10"/>
        <rFont val="Arial"/>
        <family val="2"/>
      </rPr>
      <t xml:space="preserve">C </t>
    </r>
  </si>
  <si>
    <r>
      <t>o</t>
    </r>
    <r>
      <rPr>
        <sz val="10"/>
        <rFont val="Arial"/>
        <family val="2"/>
      </rPr>
      <t>C (</t>
    </r>
    <r>
      <rPr>
        <b/>
        <sz val="10"/>
        <rFont val="Arial"/>
        <family val="2"/>
      </rPr>
      <t>max</t>
    </r>
    <r>
      <rPr>
        <sz val="10"/>
        <rFont val="Arial"/>
        <family val="2"/>
      </rPr>
      <t xml:space="preserve"> expected)</t>
    </r>
  </si>
  <si>
    <t>grams</t>
  </si>
  <si>
    <r>
      <t>o</t>
    </r>
    <r>
      <rPr>
        <sz val="10"/>
        <rFont val="Arial"/>
        <family val="2"/>
      </rPr>
      <t>C (</t>
    </r>
    <r>
      <rPr>
        <b/>
        <sz val="10"/>
        <rFont val="Arial"/>
        <family val="2"/>
      </rPr>
      <t>min</t>
    </r>
    <r>
      <rPr>
        <sz val="10"/>
        <rFont val="Arial"/>
        <family val="2"/>
      </rPr>
      <t xml:space="preserve"> expected)</t>
    </r>
  </si>
  <si>
    <r>
      <t>g/L</t>
    </r>
    <r>
      <rPr>
        <vertAlign val="superscript"/>
        <sz val="10"/>
        <rFont val="Arial"/>
        <family val="2"/>
      </rPr>
      <t>o</t>
    </r>
    <r>
      <rPr>
        <sz val="10"/>
        <rFont val="Arial"/>
        <family val="2"/>
      </rPr>
      <t>C</t>
    </r>
  </si>
  <si>
    <r>
      <t>g/L</t>
    </r>
    <r>
      <rPr>
        <vertAlign val="superscript"/>
        <sz val="10"/>
        <rFont val="Arial"/>
        <family val="2"/>
      </rPr>
      <t>o</t>
    </r>
    <r>
      <rPr>
        <sz val="10"/>
        <rFont val="Arial"/>
        <family val="2"/>
      </rPr>
      <t>C (</t>
    </r>
    <r>
      <rPr>
        <b/>
        <sz val="10"/>
        <rFont val="Arial"/>
        <family val="2"/>
      </rPr>
      <t>min</t>
    </r>
    <r>
      <rPr>
        <sz val="10"/>
        <rFont val="Arial"/>
        <family val="2"/>
      </rPr>
      <t xml:space="preserve"> expected)</t>
    </r>
  </si>
  <si>
    <t>In-Situ Density or</t>
  </si>
  <si>
    <r>
      <t>g/L</t>
    </r>
    <r>
      <rPr>
        <vertAlign val="superscript"/>
        <sz val="10"/>
        <rFont val="Arial"/>
        <family val="2"/>
      </rPr>
      <t>o</t>
    </r>
    <r>
      <rPr>
        <sz val="10"/>
        <rFont val="Arial"/>
        <family val="2"/>
      </rPr>
      <t>C (</t>
    </r>
    <r>
      <rPr>
        <b/>
        <sz val="10"/>
        <rFont val="Arial"/>
        <family val="2"/>
      </rPr>
      <t>max</t>
    </r>
    <r>
      <rPr>
        <sz val="10"/>
        <rFont val="Arial"/>
        <family val="2"/>
      </rPr>
      <t xml:space="preserve"> expected)</t>
    </r>
  </si>
  <si>
    <t>s/m</t>
  </si>
  <si>
    <t>s/m (min expected)</t>
  </si>
  <si>
    <t>pss</t>
  </si>
  <si>
    <t>pss (min expected)</t>
  </si>
  <si>
    <t>Depth and</t>
  </si>
  <si>
    <t>metres (max expected)</t>
  </si>
  <si>
    <t>Salinity</t>
  </si>
  <si>
    <t>pss (max expected)</t>
  </si>
  <si>
    <t>Calculated/given Salinity</t>
  </si>
  <si>
    <t>Pressure</t>
  </si>
  <si>
    <t>dbar</t>
  </si>
  <si>
    <t>Calculated/given Density</t>
  </si>
  <si>
    <t>Calculated/given In Situ Density</t>
  </si>
  <si>
    <t>Surface Mass Adjustment:</t>
  </si>
  <si>
    <t>Battery Type:</t>
  </si>
  <si>
    <t>mass (kg)</t>
  </si>
  <si>
    <t>Glider Volume at Target Depth:</t>
  </si>
  <si>
    <t>L</t>
  </si>
  <si>
    <t>Pitch Configuration</t>
  </si>
  <si>
    <t>Science/Energy Bay Configuration</t>
  </si>
  <si>
    <t>Aft Configuration</t>
  </si>
  <si>
    <t>Nose Configuration</t>
  </si>
  <si>
    <t>Function DENSATP(S,T,P)</t>
  </si>
  <si>
    <t>'Equation of State is from Millero &amp; Poisson (1981) DSR V28: 625-629.</t>
  </si>
  <si>
    <t>Salinity (S) in g/kg or pss.</t>
  </si>
  <si>
    <t>Temperature (T) in degrees C.</t>
  </si>
  <si>
    <t>Pressure (P) in decibar.</t>
  </si>
  <si>
    <t>'DEFINE CONSTANTS FOR EQUATION OF STATE</t>
  </si>
  <si>
    <t xml:space="preserve">  R0 = </t>
  </si>
  <si>
    <t xml:space="preserve">  R1 = </t>
  </si>
  <si>
    <t xml:space="preserve">  R2 = </t>
  </si>
  <si>
    <t xml:space="preserve">  R3 = </t>
  </si>
  <si>
    <t xml:space="preserve">  R4 =</t>
  </si>
  <si>
    <t xml:space="preserve">  R5 = </t>
  </si>
  <si>
    <t xml:space="preserve">  A0 = </t>
  </si>
  <si>
    <t xml:space="preserve">  A1 =</t>
  </si>
  <si>
    <t xml:space="preserve">  A2 = </t>
  </si>
  <si>
    <t xml:space="preserve">  A3 =</t>
  </si>
  <si>
    <t xml:space="preserve">  A4 =</t>
  </si>
  <si>
    <t xml:space="preserve">  B0 = </t>
  </si>
  <si>
    <t xml:space="preserve">  B1 = </t>
  </si>
  <si>
    <t xml:space="preserve">  B2 = </t>
  </si>
  <si>
    <t xml:space="preserve">  C =</t>
  </si>
  <si>
    <t>'CALCULATE RHO</t>
  </si>
  <si>
    <t xml:space="preserve">  SR = Sqr(S)</t>
  </si>
  <si>
    <t xml:space="preserve">  RHO0 = R0 + T * (R1 + T * (R2 + T * (R3 + T * (R4 + T * R5))))</t>
  </si>
  <si>
    <t xml:space="preserve">  A = A0 + T * (A1 + T * (A2 + T * (A3 + T * A4)))</t>
  </si>
  <si>
    <t xml:space="preserve">  B = B0 + T * (B1 + T * B2)</t>
  </si>
  <si>
    <t xml:space="preserve">  RHO = RHO0 + S * (A + B * SR + C * S)</t>
  </si>
  <si>
    <t>'DEFINE CONSTANTS FOR SECANT BULK MODULUS</t>
  </si>
  <si>
    <t xml:space="preserve">  D0 = </t>
  </si>
  <si>
    <t xml:space="preserve">  D1 = </t>
  </si>
  <si>
    <t xml:space="preserve">  D2 = </t>
  </si>
  <si>
    <t xml:space="preserve">  D3 = </t>
  </si>
  <si>
    <t xml:space="preserve">  D4 = </t>
  </si>
  <si>
    <t xml:space="preserve">  E0 = </t>
  </si>
  <si>
    <t xml:space="preserve">  E1 =</t>
  </si>
  <si>
    <t xml:space="preserve">  E2 = </t>
  </si>
  <si>
    <t xml:space="preserve">  E3 =</t>
  </si>
  <si>
    <t xml:space="preserve">  F0 = </t>
  </si>
  <si>
    <t xml:space="preserve">  F1 =</t>
  </si>
  <si>
    <t xml:space="preserve">  F2 =</t>
  </si>
  <si>
    <t xml:space="preserve">  G0 =</t>
  </si>
  <si>
    <t xml:space="preserve">  G1 =</t>
  </si>
  <si>
    <t xml:space="preserve">  G2 = </t>
  </si>
  <si>
    <t xml:space="preserve">  G3 = </t>
  </si>
  <si>
    <t xml:space="preserve">  H0 = </t>
  </si>
  <si>
    <t xml:space="preserve">  H1 =</t>
  </si>
  <si>
    <t xml:space="preserve">  H2 = </t>
  </si>
  <si>
    <t xml:space="preserve">  H3 = </t>
  </si>
  <si>
    <t xml:space="preserve">  I0 =</t>
  </si>
  <si>
    <t xml:space="preserve">  I1 =</t>
  </si>
  <si>
    <t xml:space="preserve">  I2 =</t>
  </si>
  <si>
    <t xml:space="preserve">  J0 = </t>
  </si>
  <si>
    <t xml:space="preserve">  J1 = </t>
  </si>
  <si>
    <t xml:space="preserve">  J2 = </t>
  </si>
  <si>
    <t>'CORRECT P IN DECI-BARS TO BARS</t>
  </si>
  <si>
    <t xml:space="preserve">  Pc = P / 10</t>
  </si>
  <si>
    <t>'CALCULATE K</t>
  </si>
  <si>
    <t xml:space="preserve">  H = H0 + T * (H1 + T * H2) + H3 * SR</t>
  </si>
  <si>
    <t xml:space="preserve">  J = J0 + T * (J1 + T * J2)</t>
  </si>
  <si>
    <t xml:space="preserve">  K1 = D0 + T * (D1 + T * (D2 + T * (D3 + T * D4)))</t>
  </si>
  <si>
    <t xml:space="preserve">  K2 = E0 + T * (E1 + T * (E2 + T * E3))</t>
  </si>
  <si>
    <t xml:space="preserve">  K3 = F0 + T * (F1 + T * F2)</t>
  </si>
  <si>
    <t xml:space="preserve">  K4 = G0 + T * (G1 + T * (G2 + T * G3)) + S * H</t>
  </si>
  <si>
    <t xml:space="preserve">  K5 = I0 + T * (I1 + T * I2) + S * J</t>
  </si>
  <si>
    <t xml:space="preserve">  K = K1 + S * (K2 + SR * K3) + Pc * (K4 + Pc * K5)</t>
  </si>
  <si>
    <t>'CORRECT FOR PRESSURE</t>
  </si>
  <si>
    <t xml:space="preserve">  RHP = RHO * (1 / (1 - Pc / K))</t>
  </si>
  <si>
    <t>Density in g/cc:</t>
  </si>
  <si>
    <t>Glider Types</t>
  </si>
  <si>
    <t>Glider Displacements (L)</t>
  </si>
  <si>
    <t>Buoyancy engine range (cc, +/-)</t>
  </si>
  <si>
    <t>Battery Types</t>
  </si>
  <si>
    <t>Aft Configurations</t>
  </si>
  <si>
    <t>Extended Sci/Energy Bay Configurations</t>
  </si>
  <si>
    <t>Nose Configurations</t>
  </si>
  <si>
    <t>Drive Weight Type</t>
  </si>
  <si>
    <t>Pond Wing Displacements (L)</t>
  </si>
  <si>
    <t>Pinger Displacement (L)</t>
  </si>
  <si>
    <t>Calc Method</t>
  </si>
  <si>
    <t>FWD Pump CoB (in)</t>
  </si>
  <si>
    <t>FWD Ballast Plate Location (in)</t>
  </si>
  <si>
    <t>FWD Ballast Bottle Location (in)</t>
  </si>
  <si>
    <t>MARK III aft end cap</t>
  </si>
  <si>
    <t>Hull compression factor</t>
  </si>
  <si>
    <t>Thermal expansion coefficient</t>
  </si>
  <si>
    <t>G1 Shallow (200m)</t>
  </si>
  <si>
    <t>Rechargeable</t>
  </si>
  <si>
    <t>Lithium Aft Pack</t>
  </si>
  <si>
    <t>N/A</t>
  </si>
  <si>
    <t>Lithium Emergency Pack</t>
  </si>
  <si>
    <t>Stainless Steel</t>
  </si>
  <si>
    <t>None</t>
  </si>
  <si>
    <t>n/a</t>
  </si>
  <si>
    <t>G1 Deep (1000m)</t>
  </si>
  <si>
    <t>Lithium</t>
  </si>
  <si>
    <t>Rechargeable Aft Pack</t>
  </si>
  <si>
    <t>Secondary Lithium 
Pitch Pack</t>
  </si>
  <si>
    <t>0 pack nose</t>
  </si>
  <si>
    <t>Lead</t>
  </si>
  <si>
    <t>Standard</t>
  </si>
  <si>
    <t>Channel 1</t>
  </si>
  <si>
    <t>^Installed?</t>
  </si>
  <si>
    <t>Calculated</t>
  </si>
  <si>
    <t>seaglider</t>
  </si>
  <si>
    <t>G2 Shallow (&lt;=200m)</t>
  </si>
  <si>
    <t>Alkaline</t>
  </si>
  <si>
    <t>9 pack aft</t>
  </si>
  <si>
    <t>Secondary Rechargeable  
Pitch Pack</t>
  </si>
  <si>
    <t>1 pack nose</t>
  </si>
  <si>
    <t>Extended</t>
  </si>
  <si>
    <t>Channel 2</t>
  </si>
  <si>
    <t>10 pack aft</t>
  </si>
  <si>
    <t>2 pack nose</t>
  </si>
  <si>
    <t>Channel 3</t>
  </si>
  <si>
    <t>^Dummy?</t>
  </si>
  <si>
    <t>G3 Shallow (&lt;=200m)</t>
  </si>
  <si>
    <t xml:space="preserve">&lt;-- with recovery system installed </t>
  </si>
  <si>
    <t>11 pack aft</t>
  </si>
  <si>
    <t>Channel 4</t>
  </si>
  <si>
    <t>G3 Deep (1000m)</t>
  </si>
  <si>
    <t>12 pack aft</t>
  </si>
  <si>
    <t>FAA-Style</t>
  </si>
  <si>
    <t>-</t>
  </si>
  <si>
    <t>length of bay (inches)</t>
  </si>
  <si>
    <t>Volume of Additional Bay</t>
  </si>
  <si>
    <t>Installed</t>
  </si>
  <si>
    <t>in^3</t>
  </si>
  <si>
    <t>1st sci bay (G1 shallow)</t>
  </si>
  <si>
    <t>2nd sci bay (G1 shallow)</t>
  </si>
  <si>
    <t>1st sci bay (G1 deep &amp; G2)</t>
  </si>
  <si>
    <t>2nd sci bay (G1 deep &amp; G2)</t>
  </si>
  <si>
    <t>G2 sci/energy bay</t>
  </si>
  <si>
    <t>1st dvl/echosounder/optics bay</t>
  </si>
  <si>
    <t>2nd dvl/echosounder/optics bay</t>
  </si>
  <si>
    <t>Extended sci/energy bay</t>
  </si>
  <si>
    <t>G1 Hull Diameter (in)</t>
  </si>
  <si>
    <t>G2+ Hull Diameter (in)</t>
  </si>
  <si>
    <t>G1 Main Hull</t>
  </si>
  <si>
    <t>&lt;-- volume for main hull already acounted for in base glider volume</t>
  </si>
  <si>
    <t>Other: AFT</t>
  </si>
  <si>
    <t>Other: FWD</t>
  </si>
  <si>
    <t>G1 Science Bay</t>
  </si>
  <si>
    <t>&lt;-- 10.5" or 10"?</t>
  </si>
  <si>
    <t>Other: Primary</t>
  </si>
  <si>
    <t>Picture_2</t>
  </si>
  <si>
    <t>Standard MCBH PL Bay (10.8")</t>
  </si>
  <si>
    <t>Picture_1</t>
  </si>
  <si>
    <t>Displacement (L)</t>
  </si>
  <si>
    <t>Installed?</t>
  </si>
  <si>
    <t>Center of Buoyancy</t>
  </si>
  <si>
    <t>Aft End Cap</t>
  </si>
  <si>
    <t xml:space="preserve">&lt;-- guesstimate </t>
  </si>
  <si>
    <t>FWD Pump</t>
  </si>
  <si>
    <t>SUM</t>
  </si>
  <si>
    <t>Tank salinity correction factors*</t>
  </si>
  <si>
    <t>*must be sorted in ascending alphabetical order</t>
  </si>
  <si>
    <t>Kongsberg Lynnwood</t>
  </si>
  <si>
    <t>NaCl</t>
  </si>
  <si>
    <t>Established by regression as 1.065 for Seagliders, 1.052 for Slocums when using NOC Reef Salt, adjusted to 1.084 for slocums after first deployments but reverted later</t>
  </si>
  <si>
    <t>NOC InstantOcean</t>
  </si>
  <si>
    <t>NOC Reef salt</t>
  </si>
  <si>
    <t>Seawater</t>
  </si>
  <si>
    <t>UW APL</t>
  </si>
  <si>
    <t>Glider Ballast Worksheet</t>
  </si>
  <si>
    <t>Glider Name:</t>
  </si>
  <si>
    <t>Ballasting Technician:</t>
  </si>
  <si>
    <t>TARGET SURFACE WATER</t>
  </si>
  <si>
    <t>Temperature (°C):</t>
  </si>
  <si>
    <t>Glider Displacement (L):</t>
  </si>
  <si>
    <t>Conductivity (S/m):</t>
  </si>
  <si>
    <t>Glider Mass (kg):</t>
  </si>
  <si>
    <t>Salinity (psu):</t>
  </si>
  <si>
    <t>H-Moment (mm):</t>
  </si>
  <si>
    <t>Density (g/L°C):</t>
  </si>
  <si>
    <t>TANK WATER:</t>
  </si>
  <si>
    <t>TARGET DEEP WATER</t>
  </si>
  <si>
    <t>In-Situ Density (g/L°C):</t>
  </si>
  <si>
    <t>Depth (m):</t>
  </si>
  <si>
    <t>Pie Weight Locations</t>
  </si>
  <si>
    <t>Pie weights can be removed or shifted around to indicate exact location. The quantity can also be changed to represent stacked pie weights.</t>
  </si>
  <si>
    <t>2° Extended/add-on bay FWD</t>
  </si>
  <si>
    <t>1° Sci Bay FWD</t>
  </si>
  <si>
    <t>1° Sci Bay AFT</t>
  </si>
  <si>
    <t>Nose Slug Locations</t>
  </si>
  <si>
    <t>Shade in the location of nose slugs.</t>
  </si>
  <si>
    <t>Wing Rail Slug Locations</t>
  </si>
  <si>
    <t>Shade in the location of wing slugs.</t>
  </si>
  <si>
    <t>Thruster Slug Locations</t>
  </si>
  <si>
    <t>Shade in the location of thruster slugs.</t>
  </si>
  <si>
    <t>Final Weight Configuration As Sent to Customer</t>
  </si>
  <si>
    <t>Forward</t>
  </si>
  <si>
    <t>Weight (g)</t>
  </si>
  <si>
    <t>Payload</t>
  </si>
  <si>
    <t>Aft</t>
  </si>
  <si>
    <t>Port Bottle</t>
  </si>
  <si>
    <t>Top FWD</t>
  </si>
  <si>
    <t>STBD Bottle</t>
  </si>
  <si>
    <t xml:space="preserve"> </t>
  </si>
  <si>
    <t>Bottom FWD</t>
  </si>
  <si>
    <t>Bottom Bottle</t>
  </si>
  <si>
    <t>Top AFT</t>
  </si>
  <si>
    <t>Port plates</t>
  </si>
  <si>
    <t>Bottom AFT</t>
  </si>
  <si>
    <t>Stbd plates</t>
  </si>
  <si>
    <t>Weight Bar</t>
  </si>
  <si>
    <t>Pond Wings:</t>
  </si>
  <si>
    <t>Pinger Channel:</t>
  </si>
  <si>
    <t>Glider:</t>
  </si>
  <si>
    <t xml:space="preserve">This tab is to be used for gliders configured as shown in the above diagram </t>
  </si>
  <si>
    <t>Scale readings and setup:</t>
  </si>
  <si>
    <t>Ballasting calculations from tank:</t>
  </si>
  <si>
    <t>Fwd Scale reading:</t>
  </si>
  <si>
    <t>Glider dry weight (in air):</t>
  </si>
  <si>
    <t>Aft Scale reading:</t>
  </si>
  <si>
    <t>Glider total weight in water:</t>
  </si>
  <si>
    <t>Adjustment from ballasting sheet:</t>
  </si>
  <si>
    <t>Glider volume at surface:</t>
  </si>
  <si>
    <t>Glider volume at depth:</t>
  </si>
  <si>
    <t>Predicted buoyancy at surface:</t>
  </si>
  <si>
    <t>&lt;-- Positive indicates buoyant</t>
  </si>
  <si>
    <t>From fwd hull</t>
  </si>
  <si>
    <t>From center of buoyancy</t>
  </si>
  <si>
    <t>Predicted buoyancy at depth:</t>
  </si>
  <si>
    <t>(inches)</t>
  </si>
  <si>
    <t>Fwd scale position</t>
  </si>
  <si>
    <t>Buoyancy ranges:</t>
  </si>
  <si>
    <t>Aft scale position</t>
  </si>
  <si>
    <t>Total pump range:</t>
  </si>
  <si>
    <t>cc (+/-)</t>
  </si>
  <si>
    <t>Max buoyancy at surface:</t>
  </si>
  <si>
    <t>Off from center of buoyancy by this much:</t>
  </si>
  <si>
    <t>inchgrams</t>
  </si>
  <si>
    <t>Min buoyancy at surface:</t>
  </si>
  <si>
    <t>Max buoyancy at depth:</t>
  </si>
  <si>
    <t>Mass Adjustment Section:</t>
  </si>
  <si>
    <t>Min buoyancy at depth:</t>
  </si>
  <si>
    <t>Zero if spot unavailable</t>
  </si>
  <si>
    <t>Position:</t>
  </si>
  <si>
    <t>Mass Adjustment</t>
  </si>
  <si>
    <t>Center of Mass Adjustment</t>
  </si>
  <si>
    <t>Final</t>
  </si>
  <si>
    <t>H-moment calculations:</t>
  </si>
  <si>
    <t>One if spot available</t>
  </si>
  <si>
    <t>(grams)</t>
  </si>
  <si>
    <t>(inchgrams)</t>
  </si>
  <si>
    <t>Mass</t>
  </si>
  <si>
    <t>1- With the glider neutrally buoyant and level in the tank, record m_pitch in J39 and m_battpos in J40</t>
  </si>
  <si>
    <t>3- Record m_pitch in J41 and m_battpos in J42</t>
  </si>
  <si>
    <t>Mass of Pitch Battery:</t>
  </si>
  <si>
    <t>kg</t>
  </si>
  <si>
    <t>Pitch_1:</t>
  </si>
  <si>
    <t>radians</t>
  </si>
  <si>
    <t>Battery Position_1:</t>
  </si>
  <si>
    <t>inches</t>
  </si>
  <si>
    <t>Pitch_2:</t>
  </si>
  <si>
    <t>Battery Position_2:</t>
  </si>
  <si>
    <t>H-Distance:</t>
  </si>
  <si>
    <t>mm</t>
  </si>
  <si>
    <t>Weight adjustment calculation:</t>
  </si>
  <si>
    <t>Range of Pitch Battery (+/-):</t>
  </si>
  <si>
    <t>Pitch Range:</t>
  </si>
  <si>
    <t>degrees</t>
  </si>
  <si>
    <t xml:space="preserve">&lt;-- when this change is made, the number below will be affected.  It is necessary </t>
  </si>
  <si>
    <t>to record both numbers so they can both be changed to the correct value.</t>
  </si>
  <si>
    <t>Coordinate Setup:</t>
  </si>
  <si>
    <t>Center of Buoyancy:</t>
  </si>
  <si>
    <t>Mass Position</t>
  </si>
  <si>
    <t>Dist from Fwd Hull</t>
  </si>
  <si>
    <t>From CoB</t>
  </si>
  <si>
    <t>Notes:</t>
  </si>
  <si>
    <t>Forward Top</t>
  </si>
  <si>
    <t>Red numbers indicate measured constants that will affect results.</t>
  </si>
  <si>
    <t>The reference point everything is measured from is the forward edge of the forward hull.</t>
  </si>
  <si>
    <t>Sci Fwd Bottles</t>
  </si>
  <si>
    <t>Coordinates of forward top and bottom bottles was measured with heavy end of bottle forward</t>
  </si>
  <si>
    <t>Sci Fwd Disc</t>
  </si>
  <si>
    <t>Depending on which hole is used to bolt weight to the weight bar, coordinates of sci fwd disc</t>
  </si>
  <si>
    <t>Center</t>
  </si>
  <si>
    <t>and sci aft disc will need to be adjusted.</t>
  </si>
  <si>
    <t>Sci Aft Disc</t>
  </si>
  <si>
    <t>Sci Aft Bottles</t>
  </si>
  <si>
    <t>Instructions:</t>
  </si>
  <si>
    <t>1- Put glider in tank (in lab_mode/ballast) and attach scales, recording the point of attachment in scale setup section. Clear scale weight readings C18 and C19, and all values in mass adjustment section column C.</t>
  </si>
  <si>
    <t>2- Record readings on scales in cells C18 and C19. If glider is light, temporarily add external known weight to one/both of the scale points. If weight is temporarily added, adjust cells C18 and C19 accordingly (if 500g is added to each scale point and the resulting scale weights are both 100g, enter (100g-500g = -400g in C18 and C19).</t>
  </si>
  <si>
    <t>3- Depending on glider configuration, decide which positions you will be able to add/remove weight from, and enter 1 in the corresponding cell for each available location in column A of the mass adjustment section.</t>
  </si>
  <si>
    <t>4- Cell B45 gives the total amount of weight to be added/removed to give a glider neutrally ballasted for the target (surface) water. Enter weight adjustments in column C of the mass adjustment section until no more weight needs to be added or subtracted (B45 reads zero).  Use judgment to determine where to add/subtract weight from.  If the front of the glider is heavy, you want to remove weight from the front of the glider.</t>
  </si>
  <si>
    <t>5- Once cell B45 reads zero (no more weight adjustments are needed), fine tune the weight adjustments until cell B46 reads zero by altering the fwd/aft distribution of weight. If the glider is 10-20g nose heavy, that is fine.</t>
  </si>
  <si>
    <t xml:space="preserve">6- Remove glider from tank and make weight adjustments determined in step 5. Edit the worksheet tab and Ballast tab (ballast iteration scale weights) to reflect these changes before clearing the weight adjustment cells and scale readings. </t>
  </si>
  <si>
    <t>7- Repeat step 2 to 6 until no more weight needs to move within the glider (cell B45 will be zero).  As you repeat steps 4 and 5 ensure that the TOTAL weight adjustment remains at the appropriate value whilst you change the weight adjustment numbers.</t>
  </si>
  <si>
    <t>8- Check all cells in buoyancy range section are green - for most deployments, a glider ballasted to be neutral in the target surface water should be OK, but if a large density gradient is expected, it may be necessary to aim for a glider which is slightly heavier than the expected surface water with the buoyancy pump at +/- 0 cc. In this case, orange cells within the buoyancy range section are acceptable.</t>
  </si>
  <si>
    <t>9- Once confident the glider is correctly ballasted, check the H-moment using the instructions in the H-moment calculations section. If the H-moment is too high (glider is too stiff), open the glider and move some weight higher up. If the H-moment is too low (glider is too twitchy), open the glider and move some lower down. Repeat until the H-moment cell goes green.</t>
  </si>
  <si>
    <t>If you want to change anything, the password to unprotect the sheet is "glider"</t>
  </si>
  <si>
    <t>Temporary stuff that is needed because excel limits me to 7 nested functions:</t>
  </si>
  <si>
    <t>row of first spot</t>
  </si>
  <si>
    <t>row of second spot</t>
  </si>
  <si>
    <t>pos of first spot</t>
  </si>
  <si>
    <t>pos of second spot</t>
  </si>
  <si>
    <t>(mm)</t>
  </si>
  <si>
    <t>Fwd Scale Position</t>
  </si>
  <si>
    <t>Aft Scale Position</t>
  </si>
  <si>
    <t>Mass Adjustment Calculation:</t>
  </si>
  <si>
    <t>Dist From Fwd Hull</t>
  </si>
  <si>
    <t>FWD Plates</t>
  </si>
  <si>
    <t>FWD Ballast Bottles</t>
  </si>
  <si>
    <t>FWD Secondary Bay Pie Weights</t>
  </si>
  <si>
    <t>FWD Primary Pie Weights</t>
  </si>
  <si>
    <t>Wing Rail Slugs</t>
  </si>
  <si>
    <t>AFT Primary Bay Pie Weights</t>
  </si>
  <si>
    <t>AFT Ballast Bottles</t>
  </si>
  <si>
    <t>4- Cell B46 gives the total amount of weight to be added/removed to give a glider neutrally ballasted for the target (surface) water. Enter weight adjustments in column C of the mass adjustment section until no more weight needs to be added or subtracted (B45 reads zero).  Use judgment to determine where to add/subtract weight from.  If the front of the glider is heavy, you want to remove weight from the front of the glider.</t>
  </si>
  <si>
    <t>5- Once cell B46 reads zero (no more weight adjustments are needed), fine tune the weight adjustments until cell B47 reads zero by altering the fwd/aft distribution of weight. If the glider is 10-20g nose heavy, that is fine.</t>
  </si>
  <si>
    <t>7- Repeat step 2 to 6 until no more weight needs to move within the glider (cell B46 will be zero).  As you repeat steps 4 and 5 ensure that the TOTAL weight adjustment remains at the appropriate value whilst you change the weight adjustment numbers.</t>
  </si>
  <si>
    <t>Nose Slugs</t>
  </si>
  <si>
    <t>AFT Cap Pie Weights</t>
  </si>
  <si>
    <t xml:space="preserve">Thruster Slugs </t>
  </si>
  <si>
    <t>4- Cell B49 gives the total amount of weight to be added/removed to give a glider neutrally ballasted for the target (surface) water. Enter weight adjustments in column C of the mass adjustment section until no more weight needs to be added or subtracted (B45 reads zero).  Use judgment to determine where to add/subtract weight from.  If the front of the glider is heavy, you want to remove weight from the front of the glider.</t>
  </si>
  <si>
    <t>5- Once cell B49 reads zero (no more weight adjustments are needed), fine tune the weight adjustments until cell B50 reads zero by altering the fwd/aft distribution of weight. If the glider is 10-20g nose heavy, that is fine.</t>
  </si>
  <si>
    <t>7- Repeat step 2 to 6 until no more weight needs to move within the glider (cell B49 will be zero).  As you repeat steps 4 and 5 ensure that the TOTAL weight adjustment remains at the appropriate value whilst you change the weight adjustment numbers.</t>
  </si>
  <si>
    <t>G2</t>
  </si>
  <si>
    <t>Picture 39</t>
  </si>
  <si>
    <t>G3 BALLASTING WITH EXTERNAL WEIGHTS ONLY</t>
  </si>
  <si>
    <t>Adjustment in increments of slugs</t>
  </si>
  <si>
    <t>Ballast error (g)</t>
  </si>
  <si>
    <t>External Nose Slug</t>
  </si>
  <si>
    <t>External Wing Rail Slugs</t>
  </si>
  <si>
    <t>External Thruster Slugs</t>
  </si>
  <si>
    <t>3- Cell B45 gives the total amount of weight to be added/removed to give a glider neutrally ballasted for the target (surface) water. Enter weight adjustments in column C of the mass adjustment section until no more weight needs to be added or subtracted (B45 reads zero).  Use judgment to determine where to add/subtract weight from.  If the front of the glider is heavy, you want to remove weight from the front of the glider.</t>
  </si>
  <si>
    <t>4- Once cell B45 reads zero (no more weight adjustments are needed), fine tune the weight adjustments until cell B46 reads zero by altering the fwd/aft distribution of weight. If the glider is 10-20g nose heavy, that is fine.</t>
  </si>
  <si>
    <t xml:space="preserve">5- Remove glider from tank and make weight adjustments determined in step 4. Edit the worksheet tab and Ballast tab (ballast iteration scale weights) to reflect these changes before clearing the weight adjustment cells and scale readings. </t>
  </si>
  <si>
    <t>6- Repeat step 2 to 5 until no more weight needs to move within the glider (cell B45 will be zero).  As you repeat steps 3 and 4 ensure that the TOTAL weight adjustment remains at the appropriate value whilst you change the weight adjustment numbers.</t>
  </si>
  <si>
    <t>7- Check all cells in buoyancy range section are green - for most deployments, a glider ballasted to be neutral in the target surface water should be OK, but if a large density gradient is expected, it may be necessary to aim for a glider which is slightly heavier than the expected surface water with the buoyancy pump at +/- 0 cc. In this case, orange cells within the buoyancy range section are acceptable.</t>
  </si>
  <si>
    <t>8- Once confident the glider is correctly ballasted, check the H-moment using the instructions in the H-moment calculations section. If the H-moment is too high (glider is too stiff), move some weight higher up. If the H-moment is too low (glider is too twitchy), move some lower down. Repeat until the H-moment cell goes green.</t>
  </si>
  <si>
    <t>Revision History</t>
  </si>
  <si>
    <t>REV</t>
  </si>
  <si>
    <t>DESCRIPTION OF CHANGE</t>
  </si>
  <si>
    <t>ECO #</t>
  </si>
  <si>
    <t>DATE</t>
  </si>
  <si>
    <t>F</t>
  </si>
  <si>
    <t>Added microrider, SUNA, pond wing, pinger channel, and customizable volumes, edited for clarity, corrected weight position errors in glider tabs</t>
  </si>
  <si>
    <t xml:space="preserve">Condenced sheets from multiple revisions for each glider generation to single sheet per gen. </t>
  </si>
  <si>
    <t>Added alternative method for calculating glider density; Added sheet for G3</t>
  </si>
  <si>
    <t>NOC</t>
  </si>
  <si>
    <t>Separated out thermal expansion coefficient, added surface/deep target density options. Added scale total dry weight and weight difference/error. Changed 'Standard/Advanced' volume method to 'Calculated/Weight in water'. Reference total scale weight and volume from weight in water method as default on Ballast tab. Added nose/thruster slug locations to Ballast tab</t>
  </si>
  <si>
    <t>Hull compression factor and volume at depth added, ballasting calculations added to glider tabs. Weight in water fetches from glider tabs. Tank salinity correction added to Constants tab. Added NOC pond wings to ballast and constants (with estimated volumes)</t>
  </si>
  <si>
    <t>Updated vehicle tabs, moved h-moment calcs and added buoyancy ranges. Removed all scale weights apart from glider, batteries and ballasting iterations</t>
  </si>
  <si>
    <t>Adjusted NOC Corrected salinity correction factor to match observed values. Applied multiplication factor to hull compressibility when using extended bay gliders to match observed values.</t>
  </si>
  <si>
    <t>Adjusted NOC Corrected salinity correction factor to match observed values from first slocum deployments. Lookup of pump total volume fixed.</t>
  </si>
  <si>
    <t>Adjusted NOC Corrected salinity correction factor back, not convinced by ballasting accuracy. Amended ballast sheet so density/conductivity values cannot be used by accident</t>
  </si>
  <si>
    <t>Adjusted ballast range cells to allow for wider tolerances when ballasting deep gliders for large density gradients (cells can be orange)</t>
  </si>
  <si>
    <t>Bottom</t>
  </si>
  <si>
    <t>AFT Hull (G3 only)</t>
  </si>
  <si>
    <t>G3 UHD</t>
  </si>
  <si>
    <t>Correct aft slug move calculation on G3 tab, corrected VLOOKUP function when choosing pump volume, corrected fwd plate location (was adding fwd bottle COG to Fwd plate COG)</t>
  </si>
  <si>
    <t>Target Tank</t>
  </si>
  <si>
    <t>5- If you want to change anything, the password to unprotect the sheet is "glider"</t>
  </si>
  <si>
    <t>4- Once ballasted neutral in the tank, select 'Target Surface Water' in the dark blue cell E40 and return to vehicle tab. If the tank salt correction factor is unknown, select 'Seawater' in cell C38.</t>
  </si>
  <si>
    <t>1- Fill in all fields shaded in pale blue and complete the Worksheet tab. Hide vehicle tabs which are not relevant to the glider type. Total glider dry weight and battery weights are compulsory.</t>
  </si>
  <si>
    <t>2- Move the pitch motor by 0.25 in</t>
  </si>
  <si>
    <t>Added option for tank/target surface, remove scale weight difference, corrected ballast adjustment formatting. Cells protected (password 'glider')</t>
  </si>
  <si>
    <t>NOC 2.7</t>
  </si>
  <si>
    <t>2- If you have a well ballasted glider in a known ocean environment and need to make a small adjustment wthout using a tank, enter the water mass details for the current ballasting as the tank water and the weight in water (if any) in the dark blue cell J31. Select 'Seawater' in cell C38, and adjusting weight by amount in yellow boxes will result in glider with same weight in water in desired target water (surface &amp; deep).</t>
  </si>
  <si>
    <t>Custom Location 1</t>
  </si>
  <si>
    <t>Custom Location 2</t>
  </si>
  <si>
    <t>Added Custom weight locations for all gliders, unprotected check boxes on ballast sheet</t>
  </si>
  <si>
    <t>Corrected move 'from' and 'to' locations due to custom locations being inserted</t>
  </si>
  <si>
    <t>Conductivity</t>
  </si>
  <si>
    <t>Added glider CT sensor validation</t>
  </si>
  <si>
    <t>Temperature difference</t>
  </si>
  <si>
    <t>Salinity difference</t>
  </si>
  <si>
    <t>Unlock cond cells, make CT drop down</t>
  </si>
  <si>
    <t>Tank Water (Tank CTD)</t>
  </si>
  <si>
    <t>Tank Water (Glider CTD)</t>
  </si>
  <si>
    <t>Tank Water (2nd Glider CTD)</t>
  </si>
  <si>
    <t>Validate CTD readings (Tank CTD)</t>
  </si>
  <si>
    <t>Validate CTD readings (Glider CTD)</t>
  </si>
  <si>
    <t>Validate CTD readings (2nd Glider CTD)</t>
  </si>
  <si>
    <t>Corrected Salinity</t>
  </si>
  <si>
    <t>Conductivity or</t>
  </si>
  <si>
    <t>Density or</t>
  </si>
  <si>
    <t xml:space="preserve">3- If ballasting from scratch, enter the tank and target (surface &amp; deep) water temperature and salinity. Select the CTD used for tank measurements in the dark blue cell C40 and input the measured temperature and conductivity OR salinity as prompted. Select the CTD used for validation measurements in the dark blue cell F50 and input the measured temperature and conductivity as prompted. Confirm the CTD measurements match. Select 'Target Tank' in the dark blue cell E40 and proceed to vehicle tab. </t>
  </si>
  <si>
    <t>ASSY G-1405-L (Standard G3 - 20.25'')</t>
  </si>
  <si>
    <t>Standard PL Bay (10.6'')</t>
  </si>
  <si>
    <t>unit_1104</t>
  </si>
  <si>
    <t>Trialling OT</t>
  </si>
  <si>
    <t>Office</t>
  </si>
  <si>
    <t>ASSY G-1405-3 (21.75'')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</si>
</sst>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d\-mmm\-yyyy"/>
    <numFmt numFmtId="166" formatCode="0.0"/>
    <numFmt numFmtId="167" formatCode="0.000"/>
    <numFmt numFmtId="168" formatCode="mm/dd/yy;@"/>
    <numFmt numFmtId="169" formatCode="0.0000000"/>
    <numFmt numFmtId="170" formatCode="0.000000"/>
  </numFmts>
  <fonts count="42">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sz val="12"/>
      <name val="Arial"/>
      <family val="2"/>
    </font>
    <font>
      <sz val="11"/>
      <name val="Calibri"/>
      <family val="2"/>
    </font>
    <font>
      <sz val="12"/>
      <name val="Times New Roman"/>
      <family val="1"/>
    </font>
    <font>
      <sz val="11"/>
      <name val="Times New Roman"/>
      <family val="1"/>
    </font>
    <font>
      <b/>
      <sz val="11"/>
      <name val="Times New Roman"/>
      <family val="1"/>
    </font>
    <font>
      <sz val="9"/>
      <name val="Arial"/>
      <family val="2"/>
    </font>
    <font>
      <sz val="11"/>
      <name val="Arial"/>
      <family val="2"/>
    </font>
    <font>
      <b/>
      <sz val="14"/>
      <name val="Arial"/>
      <family val="2"/>
    </font>
    <font>
      <b/>
      <sz val="11"/>
      <name val="Arial"/>
      <family val="2"/>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
      <i/>
      <sz val="10"/>
      <name val="Arial"/>
      <family val="2"/>
    </font>
    <font>
      <sz val="10"/>
      <color rgb="FF000000"/>
      <name val="Arial Unicode MS"/>
    </font>
    <font>
      <b/>
      <sz val="10"/>
      <color theme="0"/>
      <name val="Arial"/>
      <family val="2"/>
    </font>
    <font>
      <i/>
      <sz val="10"/>
      <color indexed="10"/>
      <name val="Arial"/>
      <family val="2"/>
    </font>
    <font>
      <b/>
      <sz val="16"/>
      <name val="Arial"/>
      <family val="2"/>
    </font>
    <font>
      <b/>
      <sz val="20"/>
      <color theme="0"/>
      <name val="Arial"/>
      <family val="2"/>
    </font>
    <font>
      <sz val="11"/>
      <color theme="0"/>
      <name val="Arial"/>
      <family val="2"/>
    </font>
    <font>
      <b/>
      <sz val="9"/>
      <name val="Arial"/>
      <family val="2"/>
    </font>
    <font>
      <b/>
      <sz val="18"/>
      <color theme="0"/>
      <name val="Arial"/>
      <family val="2"/>
    </font>
    <font>
      <b/>
      <sz val="18"/>
      <name val="Arial"/>
      <family val="2"/>
    </font>
    <font>
      <b/>
      <i/>
      <sz val="10"/>
      <color rgb="FFFF0000"/>
      <name val="Arial"/>
      <family val="2"/>
    </font>
    <font>
      <sz val="10"/>
      <color theme="0" tint="-0.14999847407452621"/>
      <name val="Arial"/>
      <family val="2"/>
    </font>
    <font>
      <b/>
      <sz val="10"/>
      <color theme="0" tint="-0.14999847407452621"/>
      <name val="Arial"/>
      <family val="2"/>
    </font>
    <font>
      <i/>
      <sz val="10"/>
      <color theme="0" tint="-0.14999847407452621"/>
      <name val="Arial"/>
      <family val="2"/>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B9DCFF"/>
        <bgColor indexed="64"/>
      </patternFill>
    </fill>
    <fill>
      <patternFill patternType="solid">
        <fgColor rgb="FFFF000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thin">
        <color theme="0" tint="-0.14999847407452621"/>
      </top>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medium">
        <color indexed="64"/>
      </left>
      <right style="medium">
        <color indexed="64"/>
      </right>
      <top style="medium">
        <color indexed="64"/>
      </top>
      <bottom style="medium">
        <color indexed="64"/>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right style="thin">
        <color theme="1" tint="4.9989318521683403E-2"/>
      </right>
      <top/>
      <bottom/>
      <diagonal/>
    </border>
    <border>
      <left style="thin">
        <color theme="1" tint="4.9989318521683403E-2"/>
      </left>
      <right style="medium">
        <color theme="1" tint="4.9989318521683403E-2"/>
      </right>
      <top/>
      <bottom/>
      <diagonal/>
    </border>
    <border>
      <left style="medium">
        <color indexed="64"/>
      </left>
      <right style="thin">
        <color theme="1" tint="4.9989318521683403E-2"/>
      </right>
      <top style="medium">
        <color indexed="64"/>
      </top>
      <bottom style="thin">
        <color theme="1" tint="4.9989318521683403E-2"/>
      </bottom>
      <diagonal/>
    </border>
    <border>
      <left style="thin">
        <color theme="1" tint="4.9989318521683403E-2"/>
      </left>
      <right style="medium">
        <color indexed="64"/>
      </right>
      <top style="medium">
        <color indexed="64"/>
      </top>
      <bottom style="thin">
        <color theme="1" tint="4.9989318521683403E-2"/>
      </bottom>
      <diagonal/>
    </border>
    <border>
      <left style="medium">
        <color indexed="64"/>
      </left>
      <right style="thin">
        <color theme="1" tint="4.9989318521683403E-2"/>
      </right>
      <top style="thin">
        <color theme="1" tint="4.9989318521683403E-2"/>
      </top>
      <bottom style="thin">
        <color theme="1" tint="4.9989318521683403E-2"/>
      </bottom>
      <diagonal/>
    </border>
    <border>
      <left style="thin">
        <color theme="1" tint="4.9989318521683403E-2"/>
      </left>
      <right style="medium">
        <color indexed="64"/>
      </right>
      <top style="thin">
        <color theme="1" tint="4.9989318521683403E-2"/>
      </top>
      <bottom style="thin">
        <color theme="1" tint="4.9989318521683403E-2"/>
      </bottom>
      <diagonal/>
    </border>
    <border>
      <left style="medium">
        <color indexed="64"/>
      </left>
      <right style="thin">
        <color theme="1" tint="4.9989318521683403E-2"/>
      </right>
      <top/>
      <bottom style="medium">
        <color indexed="64"/>
      </bottom>
      <diagonal/>
    </border>
    <border>
      <left style="thin">
        <color theme="1" tint="4.9989318521683403E-2"/>
      </left>
      <right style="medium">
        <color indexed="64"/>
      </right>
      <top style="thin">
        <color theme="1" tint="4.9989318521683403E-2"/>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style="thin">
        <color theme="1" tint="4.9989318521683403E-2"/>
      </left>
      <right/>
      <top style="thin">
        <color indexed="64"/>
      </top>
      <bottom/>
      <diagonal/>
    </border>
    <border>
      <left/>
      <right style="thin">
        <color indexed="64"/>
      </right>
      <top style="medium">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theme="1" tint="4.9989318521683403E-2"/>
      </right>
      <top style="medium">
        <color indexed="64"/>
      </top>
      <bottom/>
      <diagonal/>
    </border>
    <border>
      <left style="thin">
        <color theme="1" tint="4.9989318521683403E-2"/>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546">
    <xf numFmtId="0" fontId="0" fillId="0" borderId="0" xfId="0"/>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0" fillId="0" borderId="0" xfId="0" applyAlignment="1">
      <alignment vertical="center"/>
    </xf>
    <xf numFmtId="0" fontId="0" fillId="0" borderId="9" xfId="0" applyBorder="1" applyAlignment="1">
      <alignment vertical="center"/>
    </xf>
    <xf numFmtId="0" fontId="1" fillId="0" borderId="0" xfId="0" applyFont="1" applyAlignment="1">
      <alignment vertical="center"/>
    </xf>
    <xf numFmtId="0" fontId="0" fillId="0" borderId="0" xfId="0" applyAlignment="1" applyProtection="1">
      <alignment vertical="center"/>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0" fontId="0" fillId="0" borderId="14" xfId="0" applyBorder="1" applyProtection="1">
      <protection locked="0"/>
    </xf>
    <xf numFmtId="166" fontId="0" fillId="0" borderId="0" xfId="0" applyNumberFormat="1" applyProtection="1">
      <protection locked="0"/>
    </xf>
    <xf numFmtId="0" fontId="0" fillId="0" borderId="6" xfId="0" applyBorder="1" applyProtection="1">
      <protection locked="0"/>
    </xf>
    <xf numFmtId="0" fontId="6" fillId="0" borderId="0" xfId="0" applyFont="1" applyProtection="1">
      <protection locked="0"/>
    </xf>
    <xf numFmtId="0" fontId="7" fillId="0" borderId="5" xfId="0" applyFont="1" applyBorder="1" applyProtection="1">
      <protection locked="0"/>
    </xf>
    <xf numFmtId="0" fontId="0" fillId="0" borderId="8" xfId="0" applyBorder="1" applyProtection="1">
      <protection locked="0"/>
    </xf>
    <xf numFmtId="0" fontId="0" fillId="0" borderId="7" xfId="0" applyBorder="1" applyProtection="1">
      <protection locked="0"/>
    </xf>
    <xf numFmtId="0" fontId="14" fillId="0" borderId="0" xfId="0" applyFont="1" applyAlignment="1" applyProtection="1">
      <alignment horizontal="center" vertical="center" wrapText="1"/>
      <protection locked="0"/>
    </xf>
    <xf numFmtId="0" fontId="13" fillId="0" borderId="0" xfId="0" applyFont="1" applyAlignment="1" applyProtection="1">
      <alignment horizontal="center" vertical="center" wrapText="1"/>
      <protection locked="0"/>
    </xf>
    <xf numFmtId="0" fontId="15" fillId="0" borderId="0" xfId="0" applyFont="1" applyAlignment="1" applyProtection="1">
      <alignment horizontal="center" vertical="center"/>
      <protection locked="0"/>
    </xf>
    <xf numFmtId="0" fontId="15" fillId="0" borderId="0" xfId="0" applyFont="1" applyAlignment="1" applyProtection="1">
      <alignment vertical="center"/>
      <protection locked="0"/>
    </xf>
    <xf numFmtId="0" fontId="0" fillId="0" borderId="25" xfId="0" applyBorder="1" applyAlignment="1" applyProtection="1">
      <alignment vertical="center"/>
      <protection locked="0"/>
    </xf>
    <xf numFmtId="0" fontId="15" fillId="0" borderId="25" xfId="0" applyFont="1" applyBorder="1" applyAlignment="1" applyProtection="1">
      <alignment horizontal="center" vertical="center"/>
      <protection locked="0"/>
    </xf>
    <xf numFmtId="0" fontId="0" fillId="0" borderId="21" xfId="0" applyBorder="1" applyProtection="1">
      <protection locked="0"/>
    </xf>
    <xf numFmtId="0" fontId="0" fillId="0" borderId="19" xfId="0" applyBorder="1" applyProtection="1">
      <protection locked="0"/>
    </xf>
    <xf numFmtId="0" fontId="2" fillId="0" borderId="0" xfId="0" applyFont="1" applyProtection="1">
      <protection locked="0"/>
    </xf>
    <xf numFmtId="2" fontId="17" fillId="0" borderId="0" xfId="0" applyNumberFormat="1" applyFont="1" applyAlignment="1">
      <alignment horizontal="left" vertical="center"/>
    </xf>
    <xf numFmtId="2" fontId="17" fillId="0" borderId="0" xfId="0" applyNumberFormat="1" applyFont="1" applyAlignment="1">
      <alignment horizontal="center" vertical="center"/>
    </xf>
    <xf numFmtId="0" fontId="5" fillId="0" borderId="28" xfId="0" applyFont="1" applyBorder="1" applyAlignment="1">
      <alignment horizontal="center" vertical="center"/>
    </xf>
    <xf numFmtId="0" fontId="5" fillId="0" borderId="37" xfId="0" applyFont="1" applyBorder="1" applyAlignment="1">
      <alignment horizontal="center" vertical="center"/>
    </xf>
    <xf numFmtId="0" fontId="5" fillId="0" borderId="29" xfId="0" applyFont="1" applyBorder="1" applyAlignment="1">
      <alignment horizontal="center" vertical="center"/>
    </xf>
    <xf numFmtId="0" fontId="16" fillId="0" borderId="23" xfId="0" applyFont="1" applyBorder="1" applyAlignment="1">
      <alignment horizontal="center" vertical="center"/>
    </xf>
    <xf numFmtId="0" fontId="16" fillId="0" borderId="9" xfId="0" applyFont="1" applyBorder="1" applyAlignment="1">
      <alignment horizontal="center" vertical="center"/>
    </xf>
    <xf numFmtId="168" fontId="16" fillId="0" borderId="30" xfId="0" applyNumberFormat="1" applyFont="1" applyBorder="1" applyAlignment="1">
      <alignment horizontal="center" vertical="center"/>
    </xf>
    <xf numFmtId="0" fontId="16" fillId="0" borderId="9" xfId="0" applyFont="1" applyBorder="1" applyAlignment="1">
      <alignment horizontal="left" vertical="center" wrapText="1"/>
    </xf>
    <xf numFmtId="14" fontId="16" fillId="0" borderId="30" xfId="0" applyNumberFormat="1" applyFont="1" applyBorder="1" applyAlignment="1">
      <alignment horizontal="center" vertical="center"/>
    </xf>
    <xf numFmtId="0" fontId="16" fillId="0" borderId="0" xfId="0" applyFont="1" applyAlignment="1">
      <alignment vertical="center"/>
    </xf>
    <xf numFmtId="0" fontId="16" fillId="0" borderId="0" xfId="0" applyFont="1" applyAlignment="1" applyProtection="1">
      <alignment vertical="center"/>
      <protection locked="0"/>
    </xf>
    <xf numFmtId="0" fontId="0" fillId="0" borderId="18" xfId="0"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164" fontId="7" fillId="0" borderId="9" xfId="0" applyNumberFormat="1" applyFont="1" applyBorder="1" applyAlignment="1" applyProtection="1">
      <alignment horizontal="right"/>
      <protection hidden="1"/>
    </xf>
    <xf numFmtId="0" fontId="0" fillId="0" borderId="0" xfId="0" applyAlignment="1">
      <alignment horizontal="center" vertical="center" wrapText="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24"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1" fontId="0" fillId="0" borderId="18" xfId="0" applyNumberFormat="1" applyBorder="1" applyProtection="1">
      <protection hidden="1"/>
    </xf>
    <xf numFmtId="49" fontId="1" fillId="5" borderId="9" xfId="0" applyNumberFormat="1" applyFont="1" applyFill="1" applyBorder="1" applyAlignment="1" applyProtection="1">
      <alignment horizontal="center" vertical="center"/>
      <protection locked="0"/>
    </xf>
    <xf numFmtId="14" fontId="1" fillId="5" borderId="9" xfId="0" applyNumberFormat="1" applyFont="1" applyFill="1" applyBorder="1" applyAlignment="1" applyProtection="1">
      <alignment horizontal="center" vertical="center"/>
      <protection locked="0"/>
    </xf>
    <xf numFmtId="165" fontId="1" fillId="5" borderId="9" xfId="0" applyNumberFormat="1" applyFont="1" applyFill="1" applyBorder="1" applyAlignment="1" applyProtection="1">
      <alignment horizontal="center" vertical="center"/>
      <protection locked="0"/>
    </xf>
    <xf numFmtId="165" fontId="0" fillId="5" borderId="9" xfId="0" applyNumberFormat="1" applyFill="1" applyBorder="1" applyAlignment="1" applyProtection="1">
      <alignment horizontal="center" vertical="center"/>
      <protection locked="0"/>
    </xf>
    <xf numFmtId="165" fontId="1" fillId="5" borderId="9" xfId="0" applyNumberFormat="1" applyFont="1" applyFill="1" applyBorder="1" applyAlignment="1" applyProtection="1">
      <alignment horizontal="center" vertical="center" wrapText="1"/>
      <protection locked="0"/>
    </xf>
    <xf numFmtId="164" fontId="0" fillId="5" borderId="9" xfId="0" applyNumberFormat="1" applyFill="1" applyBorder="1" applyAlignment="1" applyProtection="1">
      <alignment horizontal="right" vertical="center"/>
      <protection locked="0"/>
    </xf>
    <xf numFmtId="164" fontId="1" fillId="5" borderId="9" xfId="0" applyNumberFormat="1" applyFont="1" applyFill="1" applyBorder="1" applyAlignment="1" applyProtection="1">
      <alignment horizontal="right" vertical="center"/>
      <protection locked="0"/>
    </xf>
    <xf numFmtId="0" fontId="0" fillId="5" borderId="9" xfId="0" applyFill="1" applyBorder="1" applyAlignment="1" applyProtection="1">
      <alignment horizontal="center" vertical="center"/>
      <protection locked="0"/>
    </xf>
    <xf numFmtId="0" fontId="0" fillId="5" borderId="9" xfId="0" applyFill="1" applyBorder="1" applyAlignment="1" applyProtection="1">
      <alignment horizontal="center" vertical="center" wrapText="1"/>
      <protection locked="0"/>
    </xf>
    <xf numFmtId="166" fontId="0" fillId="5" borderId="9" xfId="0" applyNumberFormat="1" applyFill="1" applyBorder="1" applyProtection="1">
      <protection locked="0"/>
    </xf>
    <xf numFmtId="0" fontId="0" fillId="5" borderId="18" xfId="0" applyFill="1" applyBorder="1" applyProtection="1">
      <protection locked="0"/>
    </xf>
    <xf numFmtId="0" fontId="0" fillId="5" borderId="21" xfId="0" applyFill="1" applyBorder="1" applyProtection="1">
      <protection locked="0"/>
    </xf>
    <xf numFmtId="0" fontId="0" fillId="5" borderId="19" xfId="0" applyFill="1" applyBorder="1" applyProtection="1">
      <protection locked="0"/>
    </xf>
    <xf numFmtId="0" fontId="1" fillId="5" borderId="21" xfId="0" applyFont="1" applyFill="1" applyBorder="1" applyProtection="1">
      <protection locked="0"/>
    </xf>
    <xf numFmtId="165" fontId="1" fillId="5" borderId="10" xfId="0" applyNumberFormat="1" applyFont="1" applyFill="1" applyBorder="1" applyAlignment="1" applyProtection="1">
      <alignment horizontal="center" vertical="center"/>
      <protection locked="0"/>
    </xf>
    <xf numFmtId="165" fontId="0" fillId="5" borderId="20" xfId="0" applyNumberFormat="1" applyFill="1" applyBorder="1" applyAlignment="1" applyProtection="1">
      <alignment horizontal="center" vertical="center" wrapText="1"/>
      <protection locked="0"/>
    </xf>
    <xf numFmtId="2" fontId="0" fillId="5" borderId="20" xfId="0" applyNumberFormat="1" applyFill="1" applyBorder="1" applyAlignment="1" applyProtection="1">
      <alignment horizontal="center" vertical="center"/>
      <protection locked="0"/>
    </xf>
    <xf numFmtId="0" fontId="0" fillId="5" borderId="4" xfId="0" applyFill="1" applyBorder="1" applyProtection="1">
      <protection locked="0"/>
    </xf>
    <xf numFmtId="0" fontId="0" fillId="5" borderId="6" xfId="0" applyFill="1" applyBorder="1" applyProtection="1">
      <protection locked="0"/>
    </xf>
    <xf numFmtId="1" fontId="1" fillId="5" borderId="9" xfId="0" applyNumberFormat="1" applyFont="1" applyFill="1" applyBorder="1" applyProtection="1">
      <protection locked="0"/>
    </xf>
    <xf numFmtId="0" fontId="29" fillId="0" borderId="0" xfId="0" applyFont="1" applyAlignment="1">
      <alignment vertical="center"/>
    </xf>
    <xf numFmtId="0" fontId="0" fillId="3" borderId="0" xfId="0" applyFill="1"/>
    <xf numFmtId="0" fontId="0" fillId="8" borderId="0" xfId="0" applyFill="1"/>
    <xf numFmtId="0" fontId="0" fillId="9" borderId="0" xfId="0" applyFill="1"/>
    <xf numFmtId="164" fontId="2" fillId="0" borderId="9" xfId="0" quotePrefix="1" applyNumberFormat="1" applyFont="1" applyBorder="1" applyAlignment="1" applyProtection="1">
      <alignment horizontal="center" vertical="center"/>
      <protection hidden="1"/>
    </xf>
    <xf numFmtId="1" fontId="2" fillId="0" borderId="0" xfId="0" applyNumberFormat="1" applyFont="1" applyProtection="1">
      <protection locked="0"/>
    </xf>
    <xf numFmtId="167" fontId="0" fillId="5" borderId="9" xfId="0" applyNumberFormat="1" applyFill="1" applyBorder="1" applyAlignment="1" applyProtection="1">
      <alignment vertical="center"/>
      <protection locked="0"/>
    </xf>
    <xf numFmtId="2" fontId="0" fillId="0" borderId="9" xfId="0" applyNumberFormat="1" applyBorder="1" applyAlignment="1" applyProtection="1">
      <alignment horizontal="right" vertical="center"/>
      <protection locked="0"/>
    </xf>
    <xf numFmtId="0" fontId="15" fillId="0" borderId="0" xfId="0" applyFont="1" applyAlignment="1" applyProtection="1">
      <alignment vertical="center" wrapText="1"/>
      <protection locked="0"/>
    </xf>
    <xf numFmtId="0" fontId="1" fillId="0" borderId="0" xfId="0" applyFont="1" applyAlignment="1" applyProtection="1">
      <alignment vertical="center"/>
      <protection locked="0"/>
    </xf>
    <xf numFmtId="0" fontId="5"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15" fillId="0" borderId="0" xfId="0" applyFont="1" applyAlignment="1" applyProtection="1">
      <alignment horizontal="center" vertical="center" wrapText="1"/>
      <protection locked="0"/>
    </xf>
    <xf numFmtId="0" fontId="2" fillId="0" borderId="0" xfId="0" applyFont="1" applyAlignment="1" applyProtection="1">
      <alignment horizontal="left" vertical="center" wrapText="1"/>
      <protection locked="0"/>
    </xf>
    <xf numFmtId="0" fontId="35" fillId="0" borderId="0" xfId="0" applyFont="1" applyAlignment="1" applyProtection="1">
      <alignment horizontal="right" vertical="center"/>
      <protection locked="0"/>
    </xf>
    <xf numFmtId="0" fontId="1" fillId="0" borderId="25" xfId="0" applyFont="1" applyBorder="1" applyAlignment="1" applyProtection="1">
      <alignment vertical="center"/>
      <protection locked="0"/>
    </xf>
    <xf numFmtId="0" fontId="2" fillId="0" borderId="0" xfId="0" applyFont="1" applyAlignment="1" applyProtection="1">
      <alignment horizontal="left" vertical="center" wrapText="1" indent="3"/>
      <protection locked="0"/>
    </xf>
    <xf numFmtId="0" fontId="35" fillId="0" borderId="0" xfId="0" applyFont="1" applyAlignment="1" applyProtection="1">
      <alignment horizontal="center" vertical="center"/>
      <protection locked="0"/>
    </xf>
    <xf numFmtId="0" fontId="15" fillId="0" borderId="25" xfId="0" applyFont="1" applyBorder="1" applyAlignment="1" applyProtection="1">
      <alignment horizontal="center" vertical="center" wrapText="1"/>
      <protection locked="0"/>
    </xf>
    <xf numFmtId="0" fontId="1" fillId="0" borderId="10" xfId="0" applyFont="1" applyBorder="1" applyAlignment="1" applyProtection="1">
      <alignment horizontal="center" vertical="center" wrapText="1"/>
      <protection locked="0"/>
    </xf>
    <xf numFmtId="0" fontId="1" fillId="5" borderId="10" xfId="0" applyFont="1" applyFill="1" applyBorder="1" applyAlignment="1" applyProtection="1">
      <alignment horizontal="center" vertical="center" wrapText="1"/>
      <protection locked="0"/>
    </xf>
    <xf numFmtId="0" fontId="1" fillId="0" borderId="9" xfId="0" applyFont="1" applyBorder="1" applyAlignment="1" applyProtection="1">
      <alignment horizontal="center" vertical="center" wrapText="1"/>
      <protection locked="0"/>
    </xf>
    <xf numFmtId="0" fontId="1" fillId="5" borderId="9" xfId="0" applyFont="1" applyFill="1" applyBorder="1" applyAlignment="1" applyProtection="1">
      <alignment horizontal="center" vertical="center" wrapText="1"/>
      <protection locked="0"/>
    </xf>
    <xf numFmtId="0" fontId="1" fillId="0" borderId="9" xfId="0" applyFont="1" applyBorder="1" applyAlignment="1" applyProtection="1">
      <alignment vertical="center" wrapText="1"/>
      <protection locked="0"/>
    </xf>
    <xf numFmtId="0" fontId="1" fillId="5" borderId="9"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1" fillId="0" borderId="9"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7" fillId="0" borderId="0" xfId="0" applyFont="1" applyAlignment="1" applyProtection="1">
      <alignment vertical="center" wrapText="1"/>
      <protection hidden="1"/>
    </xf>
    <xf numFmtId="0" fontId="38" fillId="0" borderId="35" xfId="0" applyFont="1" applyBorder="1" applyAlignment="1" applyProtection="1">
      <alignment horizontal="left" vertical="center" wrapText="1"/>
      <protection hidden="1"/>
    </xf>
    <xf numFmtId="0" fontId="1" fillId="5" borderId="9" xfId="0" quotePrefix="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right" vertical="center"/>
      <protection locked="0"/>
    </xf>
    <xf numFmtId="164" fontId="1" fillId="5" borderId="10" xfId="0" applyNumberFormat="1" applyFont="1" applyFill="1" applyBorder="1" applyAlignment="1" applyProtection="1">
      <alignment horizontal="right" vertical="center"/>
      <protection locked="0"/>
    </xf>
    <xf numFmtId="0" fontId="17" fillId="0" borderId="0" xfId="0" applyFont="1" applyAlignment="1" applyProtection="1">
      <alignment vertical="center"/>
      <protection locked="0"/>
    </xf>
    <xf numFmtId="0" fontId="5" fillId="0" borderId="0" xfId="0" applyFont="1" applyAlignment="1" applyProtection="1">
      <alignment vertical="center" wrapText="1"/>
      <protection locked="0"/>
    </xf>
    <xf numFmtId="0" fontId="2" fillId="0" borderId="28" xfId="0" applyFont="1" applyBorder="1" applyAlignment="1" applyProtection="1">
      <alignment horizontal="right" vertical="center" wrapText="1"/>
      <protection locked="0"/>
    </xf>
    <xf numFmtId="0" fontId="1" fillId="0" borderId="29" xfId="0" applyFont="1" applyBorder="1" applyAlignment="1" applyProtection="1">
      <alignment horizontal="right" vertical="center" wrapText="1"/>
      <protection locked="0"/>
    </xf>
    <xf numFmtId="0" fontId="2" fillId="0" borderId="23" xfId="0" applyFont="1" applyBorder="1" applyAlignment="1" applyProtection="1">
      <alignment horizontal="right" vertical="center" wrapText="1"/>
      <protection locked="0"/>
    </xf>
    <xf numFmtId="0" fontId="1" fillId="0" borderId="30" xfId="0" applyFont="1" applyBorder="1" applyAlignment="1" applyProtection="1">
      <alignment horizontal="right" vertical="center" wrapText="1"/>
      <protection locked="0"/>
    </xf>
    <xf numFmtId="14" fontId="1" fillId="0" borderId="30" xfId="0" applyNumberFormat="1" applyFont="1" applyBorder="1" applyAlignment="1" applyProtection="1">
      <alignment horizontal="right" vertical="center" wrapText="1"/>
      <protection locked="0"/>
    </xf>
    <xf numFmtId="0" fontId="5" fillId="0" borderId="0" xfId="0" applyFont="1" applyAlignment="1" applyProtection="1">
      <alignment vertical="center"/>
      <protection locked="0"/>
    </xf>
    <xf numFmtId="0" fontId="2" fillId="0" borderId="24" xfId="0" applyFont="1" applyBorder="1" applyAlignment="1" applyProtection="1">
      <alignment horizontal="right" vertical="center" wrapText="1"/>
      <protection locked="0"/>
    </xf>
    <xf numFmtId="0" fontId="1" fillId="0" borderId="31" xfId="0" applyFont="1" applyBorder="1" applyAlignment="1" applyProtection="1">
      <alignment horizontal="right" vertical="center" wrapText="1"/>
      <protection locked="0"/>
    </xf>
    <xf numFmtId="0" fontId="0" fillId="0" borderId="27" xfId="0" applyBorder="1" applyAlignment="1" applyProtection="1">
      <alignment vertical="center"/>
      <protection locked="0"/>
    </xf>
    <xf numFmtId="0" fontId="1" fillId="0" borderId="0" xfId="0" applyFont="1" applyAlignment="1" applyProtection="1">
      <alignment horizontal="right" vertical="center"/>
      <protection locked="0"/>
    </xf>
    <xf numFmtId="0" fontId="0" fillId="0" borderId="0" xfId="0" applyAlignment="1" applyProtection="1">
      <alignment horizontal="left" vertical="center" wrapText="1"/>
      <protection locked="0"/>
    </xf>
    <xf numFmtId="0" fontId="0" fillId="0" borderId="0" xfId="0" applyAlignment="1" applyProtection="1">
      <alignment horizontal="left" vertical="center"/>
      <protection locked="0"/>
    </xf>
    <xf numFmtId="0" fontId="2" fillId="0" borderId="0" xfId="0" applyFont="1" applyAlignment="1" applyProtection="1">
      <alignment horizontal="right" vertical="center"/>
      <protection locked="0"/>
    </xf>
    <xf numFmtId="0" fontId="2" fillId="0" borderId="59" xfId="0" applyFont="1" applyBorder="1" applyAlignment="1" applyProtection="1">
      <alignment horizontal="center"/>
      <protection locked="0"/>
    </xf>
    <xf numFmtId="0" fontId="1" fillId="0" borderId="75" xfId="0" applyFont="1" applyBorder="1" applyAlignment="1" applyProtection="1">
      <alignment horizontal="left" vertical="center" wrapText="1"/>
      <protection locked="0"/>
    </xf>
    <xf numFmtId="166" fontId="0" fillId="5" borderId="76" xfId="0" applyNumberFormat="1" applyFill="1" applyBorder="1" applyProtection="1">
      <protection locked="0"/>
    </xf>
    <xf numFmtId="0" fontId="1" fillId="0" borderId="23" xfId="0" applyFont="1" applyBorder="1" applyAlignment="1" applyProtection="1">
      <alignment wrapText="1"/>
      <protection locked="0"/>
    </xf>
    <xf numFmtId="166" fontId="0" fillId="5" borderId="30" xfId="0" applyNumberFormat="1" applyFill="1" applyBorder="1" applyProtection="1">
      <protection locked="0"/>
    </xf>
    <xf numFmtId="0" fontId="15" fillId="0" borderId="13" xfId="0" applyFont="1" applyBorder="1" applyAlignment="1" applyProtection="1">
      <alignment horizontal="right" vertical="center" wrapText="1"/>
      <protection locked="0"/>
    </xf>
    <xf numFmtId="0" fontId="27" fillId="0" borderId="5" xfId="0" applyFont="1" applyBorder="1" applyAlignment="1" applyProtection="1">
      <alignment vertical="center" wrapText="1"/>
      <protection locked="0" hidden="1"/>
    </xf>
    <xf numFmtId="2" fontId="21" fillId="0" borderId="0" xfId="0" applyNumberFormat="1" applyFont="1" applyProtection="1">
      <protection locked="0"/>
    </xf>
    <xf numFmtId="0" fontId="21" fillId="0" borderId="0" xfId="0" applyFont="1" applyProtection="1">
      <protection locked="0"/>
    </xf>
    <xf numFmtId="0" fontId="0" fillId="0" borderId="23" xfId="0" applyBorder="1" applyProtection="1">
      <protection locked="0"/>
    </xf>
    <xf numFmtId="0" fontId="28" fillId="0" borderId="0" xfId="0" applyFont="1" applyProtection="1">
      <protection locked="0"/>
    </xf>
    <xf numFmtId="0" fontId="1" fillId="0" borderId="62" xfId="0" applyFont="1" applyBorder="1" applyAlignment="1" applyProtection="1">
      <alignment horizontal="left" vertical="center" wrapText="1"/>
      <protection locked="0"/>
    </xf>
    <xf numFmtId="166" fontId="0" fillId="5" borderId="63" xfId="0" applyNumberFormat="1" applyFill="1" applyBorder="1" applyProtection="1">
      <protection locked="0"/>
    </xf>
    <xf numFmtId="0" fontId="1" fillId="0" borderId="64" xfId="0" applyFont="1" applyBorder="1" applyAlignment="1" applyProtection="1">
      <alignment horizontal="left" vertical="center" wrapText="1"/>
      <protection locked="0"/>
    </xf>
    <xf numFmtId="0" fontId="1" fillId="0" borderId="60" xfId="0" applyFont="1" applyBorder="1" applyAlignment="1" applyProtection="1">
      <alignment horizontal="left" vertical="center" wrapText="1"/>
      <protection locked="0"/>
    </xf>
    <xf numFmtId="166" fontId="0" fillId="5" borderId="61" xfId="0" applyNumberFormat="1" applyFill="1" applyBorder="1" applyProtection="1">
      <protection locked="0"/>
    </xf>
    <xf numFmtId="0" fontId="2" fillId="0" borderId="18" xfId="0" applyFont="1" applyBorder="1" applyAlignment="1" applyProtection="1">
      <alignment vertical="center" textRotation="90"/>
      <protection locked="0"/>
    </xf>
    <xf numFmtId="0" fontId="23" fillId="0" borderId="46" xfId="0" applyFont="1" applyBorder="1" applyAlignment="1" applyProtection="1">
      <alignment vertical="center"/>
      <protection locked="0"/>
    </xf>
    <xf numFmtId="0" fontId="0" fillId="0" borderId="18" xfId="0" applyBorder="1" applyAlignment="1" applyProtection="1">
      <alignment horizontal="center" vertical="center"/>
      <protection locked="0"/>
    </xf>
    <xf numFmtId="0" fontId="25" fillId="7" borderId="66" xfId="0" applyFont="1" applyFill="1" applyBorder="1" applyAlignment="1" applyProtection="1">
      <alignment vertical="center"/>
      <protection locked="0"/>
    </xf>
    <xf numFmtId="0" fontId="0" fillId="0" borderId="19" xfId="0" applyBorder="1" applyAlignment="1" applyProtection="1">
      <alignment horizontal="center" vertical="center"/>
      <protection locked="0"/>
    </xf>
    <xf numFmtId="0" fontId="25" fillId="7" borderId="47" xfId="0" applyFont="1" applyFill="1" applyBorder="1" applyAlignment="1" applyProtection="1">
      <alignment vertical="center"/>
      <protection locked="0"/>
    </xf>
    <xf numFmtId="0" fontId="39" fillId="0" borderId="0" xfId="0" applyFont="1" applyAlignment="1" applyProtection="1">
      <alignment vertical="center"/>
      <protection locked="0"/>
    </xf>
    <xf numFmtId="0" fontId="40" fillId="0" borderId="0" xfId="0" applyFont="1" applyProtection="1">
      <protection locked="0"/>
    </xf>
    <xf numFmtId="0" fontId="39" fillId="0" borderId="0" xfId="0" applyFont="1" applyProtection="1">
      <protection locked="0"/>
    </xf>
    <xf numFmtId="0" fontId="41" fillId="0" borderId="0" xfId="0" applyFont="1" applyAlignment="1" applyProtection="1">
      <alignment horizontal="left" vertical="center"/>
      <protection locked="0"/>
    </xf>
    <xf numFmtId="2" fontId="1" fillId="5" borderId="9" xfId="0" quotePrefix="1" applyNumberFormat="1"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169" fontId="1" fillId="5" borderId="9" xfId="0" quotePrefix="1" applyNumberFormat="1" applyFont="1" applyFill="1" applyBorder="1" applyAlignment="1" applyProtection="1">
      <alignment horizontal="center" vertical="center" wrapText="1"/>
      <protection locked="0"/>
    </xf>
    <xf numFmtId="0" fontId="38" fillId="0" borderId="0" xfId="0" applyFont="1" applyAlignment="1" applyProtection="1">
      <alignment vertical="center" wrapText="1"/>
      <protection locked="0"/>
    </xf>
    <xf numFmtId="0" fontId="2"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Protection="1">
      <protection locked="0"/>
    </xf>
    <xf numFmtId="0" fontId="1" fillId="0" borderId="0" xfId="0" applyFont="1" applyProtection="1">
      <protection locked="0"/>
    </xf>
    <xf numFmtId="0" fontId="2" fillId="0" borderId="0" xfId="0" applyFont="1" applyAlignment="1" applyProtection="1">
      <alignment horizontal="left" vertical="center"/>
      <protection locked="0"/>
    </xf>
    <xf numFmtId="0" fontId="2" fillId="0" borderId="35" xfId="0" applyFont="1" applyBorder="1" applyAlignment="1" applyProtection="1">
      <alignment vertical="center"/>
      <protection locked="0"/>
    </xf>
    <xf numFmtId="0" fontId="0" fillId="0" borderId="38" xfId="0" applyBorder="1" applyAlignment="1" applyProtection="1">
      <alignment vertical="center"/>
      <protection locked="0"/>
    </xf>
    <xf numFmtId="0" fontId="21" fillId="0" borderId="0" xfId="0" applyFont="1" applyAlignment="1" applyProtection="1">
      <alignment vertical="center"/>
      <protection locked="0"/>
    </xf>
    <xf numFmtId="0" fontId="18" fillId="0" borderId="28" xfId="0" applyFont="1" applyBorder="1" applyAlignment="1" applyProtection="1">
      <alignment horizontal="right" vertical="center" wrapText="1"/>
      <protection locked="0"/>
    </xf>
    <xf numFmtId="0" fontId="18" fillId="0" borderId="23" xfId="0" applyFont="1" applyBorder="1" applyAlignment="1" applyProtection="1">
      <alignment horizontal="right" vertical="center" wrapText="1"/>
      <protection locked="0"/>
    </xf>
    <xf numFmtId="0" fontId="18" fillId="0" borderId="24" xfId="0" applyFont="1" applyBorder="1" applyAlignment="1" applyProtection="1">
      <alignment horizontal="right" vertical="center" wrapText="1"/>
      <protection locked="0"/>
    </xf>
    <xf numFmtId="0" fontId="32" fillId="0" borderId="25" xfId="0" applyFont="1" applyBorder="1" applyAlignment="1" applyProtection="1">
      <alignment horizontal="left" vertical="center"/>
      <protection locked="0"/>
    </xf>
    <xf numFmtId="0" fontId="18" fillId="0" borderId="0" xfId="0" applyFont="1" applyAlignment="1" applyProtection="1">
      <alignment horizontal="right"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applyAlignment="1" applyProtection="1">
      <alignment horizontal="center" vertical="center"/>
      <protection locked="0"/>
    </xf>
    <xf numFmtId="0" fontId="18" fillId="0" borderId="0" xfId="0" applyFont="1" applyAlignment="1" applyProtection="1">
      <alignment vertical="center"/>
      <protection locked="0"/>
    </xf>
    <xf numFmtId="14" fontId="16" fillId="0" borderId="0" xfId="0" applyNumberFormat="1" applyFont="1" applyAlignment="1" applyProtection="1">
      <alignment horizontal="right" vertical="center"/>
      <protection locked="0"/>
    </xf>
    <xf numFmtId="0" fontId="18" fillId="0" borderId="9" xfId="0" applyFont="1" applyBorder="1" applyAlignment="1" applyProtection="1">
      <alignment vertical="center"/>
      <protection locked="0"/>
    </xf>
    <xf numFmtId="0" fontId="18" fillId="0" borderId="0" xfId="0" applyFont="1" applyAlignment="1" applyProtection="1">
      <alignment horizontal="right" vertical="center" wrapText="1"/>
      <protection locked="0"/>
    </xf>
    <xf numFmtId="166" fontId="16" fillId="0" borderId="0" xfId="0" applyNumberFormat="1" applyFont="1" applyAlignment="1" applyProtection="1">
      <alignment horizontal="right" vertical="center"/>
      <protection locked="0"/>
    </xf>
    <xf numFmtId="2" fontId="16" fillId="0" borderId="0" xfId="0" applyNumberFormat="1" applyFont="1" applyAlignment="1" applyProtection="1">
      <alignment horizontal="center" vertical="center"/>
      <protection locked="0"/>
    </xf>
    <xf numFmtId="2" fontId="16" fillId="0" borderId="0" xfId="0" applyNumberFormat="1" applyFont="1" applyAlignment="1" applyProtection="1">
      <alignment horizontal="right" vertical="center"/>
      <protection locked="0"/>
    </xf>
    <xf numFmtId="2" fontId="18" fillId="0" borderId="0" xfId="0" applyNumberFormat="1" applyFont="1" applyAlignment="1" applyProtection="1">
      <alignment horizontal="right" vertical="center"/>
      <protection locked="0"/>
    </xf>
    <xf numFmtId="164" fontId="16" fillId="0" borderId="0" xfId="0" applyNumberFormat="1" applyFont="1" applyAlignment="1" applyProtection="1">
      <alignment vertical="center"/>
      <protection locked="0"/>
    </xf>
    <xf numFmtId="0" fontId="1" fillId="4" borderId="25" xfId="0" applyFont="1" applyFill="1" applyBorder="1" applyAlignment="1" applyProtection="1">
      <alignment horizontal="left" vertical="center"/>
      <protection locked="0"/>
    </xf>
    <xf numFmtId="0" fontId="10" fillId="0" borderId="0" xfId="0" applyFont="1" applyAlignment="1" applyProtection="1">
      <alignment vertical="center"/>
      <protection locked="0"/>
    </xf>
    <xf numFmtId="0" fontId="2" fillId="0" borderId="26" xfId="0" applyFont="1" applyBorder="1" applyAlignment="1" applyProtection="1">
      <alignment horizontal="center" vertical="center" wrapText="1"/>
      <protection locked="0"/>
    </xf>
    <xf numFmtId="0" fontId="12" fillId="0" borderId="0" xfId="0" applyFont="1" applyAlignment="1" applyProtection="1">
      <alignment vertical="center" wrapText="1"/>
      <protection locked="0"/>
    </xf>
    <xf numFmtId="0" fontId="11" fillId="0" borderId="0" xfId="0" applyFont="1" applyAlignment="1" applyProtection="1">
      <alignment vertical="center" wrapText="1"/>
      <protection locked="0"/>
    </xf>
    <xf numFmtId="0" fontId="10" fillId="0" borderId="0" xfId="0" applyFont="1" applyAlignment="1" applyProtection="1">
      <alignment horizontal="center" vertical="center"/>
      <protection locked="0"/>
    </xf>
    <xf numFmtId="0" fontId="19" fillId="0" borderId="0" xfId="0" applyFont="1" applyAlignment="1" applyProtection="1">
      <alignment horizontal="center"/>
      <protection locked="0"/>
    </xf>
    <xf numFmtId="0" fontId="16" fillId="0" borderId="0" xfId="0" applyFont="1" applyAlignment="1" applyProtection="1">
      <alignment horizontal="right" vertical="center" wrapText="1"/>
      <protection locked="0"/>
    </xf>
    <xf numFmtId="0" fontId="2" fillId="0" borderId="1" xfId="0" applyFont="1" applyBorder="1" applyAlignment="1" applyProtection="1">
      <alignment horizontal="right"/>
      <protection locked="0"/>
    </xf>
    <xf numFmtId="0" fontId="1" fillId="0" borderId="3" xfId="0" applyFont="1" applyBorder="1" applyAlignment="1" applyProtection="1">
      <alignment horizontal="center" vertical="center"/>
      <protection locked="0" hidden="1"/>
    </xf>
    <xf numFmtId="0" fontId="2" fillId="0" borderId="6" xfId="0" applyFont="1" applyBorder="1" applyAlignment="1" applyProtection="1">
      <alignment horizontal="right"/>
      <protection locked="0"/>
    </xf>
    <xf numFmtId="14" fontId="1" fillId="0" borderId="8" xfId="0" applyNumberFormat="1" applyFont="1" applyBorder="1" applyAlignment="1" applyProtection="1">
      <alignment horizontal="center" vertical="center"/>
      <protection locked="0" hidden="1"/>
    </xf>
    <xf numFmtId="0" fontId="0" fillId="0" borderId="0" xfId="0" applyAlignment="1" applyProtection="1">
      <alignment vertical="top" wrapText="1"/>
      <protection locked="0"/>
    </xf>
    <xf numFmtId="14" fontId="6" fillId="0" borderId="0" xfId="0" applyNumberFormat="1" applyFont="1" applyProtection="1">
      <protection locked="0"/>
    </xf>
    <xf numFmtId="14" fontId="2" fillId="0" borderId="1" xfId="0" applyNumberFormat="1" applyFont="1" applyBorder="1" applyProtection="1">
      <protection locked="0"/>
    </xf>
    <xf numFmtId="0" fontId="2" fillId="0" borderId="67" xfId="0" applyFont="1" applyBorder="1" applyProtection="1">
      <protection locked="0"/>
    </xf>
    <xf numFmtId="0" fontId="0" fillId="0" borderId="68" xfId="0" applyBorder="1" applyProtection="1">
      <protection locked="0"/>
    </xf>
    <xf numFmtId="0" fontId="0" fillId="0" borderId="68" xfId="0" applyBorder="1" applyAlignment="1" applyProtection="1">
      <alignment horizontal="right"/>
      <protection locked="0"/>
    </xf>
    <xf numFmtId="0" fontId="0" fillId="0" borderId="69" xfId="0" applyBorder="1" applyProtection="1">
      <protection locked="0"/>
    </xf>
    <xf numFmtId="0" fontId="0" fillId="0" borderId="12" xfId="0" applyBorder="1" applyAlignment="1" applyProtection="1">
      <alignment horizontal="right"/>
      <protection locked="0"/>
    </xf>
    <xf numFmtId="0" fontId="0" fillId="0" borderId="4" xfId="0" applyBorder="1" applyAlignment="1" applyProtection="1">
      <alignment vertical="top"/>
      <protection locked="0"/>
    </xf>
    <xf numFmtId="0" fontId="1" fillId="0" borderId="0" xfId="0" applyFont="1" applyAlignment="1" applyProtection="1">
      <alignment horizontal="right"/>
      <protection locked="0"/>
    </xf>
    <xf numFmtId="0" fontId="0" fillId="0" borderId="9" xfId="0" applyBorder="1" applyProtection="1">
      <protection locked="0"/>
    </xf>
    <xf numFmtId="0" fontId="1" fillId="0" borderId="5" xfId="0" applyFont="1" applyBorder="1" applyProtection="1">
      <protection locked="0"/>
    </xf>
    <xf numFmtId="0" fontId="0" fillId="0" borderId="13" xfId="0" applyBorder="1" applyAlignment="1" applyProtection="1">
      <alignment horizontal="right"/>
      <protection locked="0"/>
    </xf>
    <xf numFmtId="0" fontId="2" fillId="0" borderId="15" xfId="0" applyFont="1" applyBorder="1" applyAlignment="1" applyProtection="1">
      <alignment horizontal="right"/>
      <protection locked="0"/>
    </xf>
    <xf numFmtId="0" fontId="2" fillId="0" borderId="5" xfId="0" applyFont="1" applyBorder="1" applyProtection="1">
      <protection locked="0"/>
    </xf>
    <xf numFmtId="0" fontId="0" fillId="0" borderId="16" xfId="0" applyBorder="1" applyAlignment="1" applyProtection="1">
      <alignment horizontal="center"/>
      <protection locked="0"/>
    </xf>
    <xf numFmtId="166" fontId="0" fillId="0" borderId="16" xfId="0" applyNumberFormat="1" applyBorder="1" applyAlignment="1" applyProtection="1">
      <alignment horizontal="center"/>
      <protection locked="0"/>
    </xf>
    <xf numFmtId="0" fontId="0" fillId="0" borderId="6" xfId="0" applyBorder="1" applyAlignment="1" applyProtection="1">
      <alignment vertical="top"/>
      <protection locked="0"/>
    </xf>
    <xf numFmtId="0" fontId="1" fillId="0" borderId="7" xfId="0" applyFont="1" applyBorder="1" applyAlignment="1" applyProtection="1">
      <alignment horizontal="right"/>
      <protection locked="0"/>
    </xf>
    <xf numFmtId="0" fontId="1" fillId="0" borderId="8" xfId="0" applyFont="1" applyBorder="1" applyProtection="1">
      <protection locked="0"/>
    </xf>
    <xf numFmtId="0" fontId="0" fillId="0" borderId="17" xfId="0" applyBorder="1" applyAlignment="1" applyProtection="1">
      <alignment horizontal="center"/>
      <protection locked="0"/>
    </xf>
    <xf numFmtId="0" fontId="2" fillId="0" borderId="68" xfId="0" applyFont="1" applyBorder="1" applyProtection="1">
      <protection locked="0"/>
    </xf>
    <xf numFmtId="0" fontId="2" fillId="0" borderId="7" xfId="0" applyFont="1" applyBorder="1" applyAlignment="1" applyProtection="1">
      <alignment horizontal="right"/>
      <protection locked="0"/>
    </xf>
    <xf numFmtId="0" fontId="2" fillId="0" borderId="8" xfId="0" applyFont="1" applyBorder="1" applyProtection="1">
      <protection locked="0"/>
    </xf>
    <xf numFmtId="0" fontId="2" fillId="0" borderId="1" xfId="0" applyFont="1" applyBorder="1" applyProtection="1">
      <protection locked="0"/>
    </xf>
    <xf numFmtId="0" fontId="0" fillId="0" borderId="18" xfId="0" applyBorder="1" applyProtection="1">
      <protection locked="0"/>
    </xf>
    <xf numFmtId="0" fontId="0" fillId="0" borderId="18" xfId="0" applyBorder="1" applyAlignment="1" applyProtection="1">
      <alignment wrapText="1"/>
      <protection locked="0"/>
    </xf>
    <xf numFmtId="0" fontId="9" fillId="0" borderId="0" xfId="0" applyFont="1" applyAlignment="1" applyProtection="1">
      <alignment vertical="top" wrapText="1"/>
      <protection locked="0"/>
    </xf>
    <xf numFmtId="0" fontId="0" fillId="0" borderId="5" xfId="0" applyBorder="1" applyAlignment="1" applyProtection="1">
      <alignment vertical="center"/>
      <protection locked="0"/>
    </xf>
    <xf numFmtId="0" fontId="0" fillId="0" borderId="4" xfId="0" applyBorder="1" applyAlignment="1" applyProtection="1">
      <alignment horizontal="left" vertical="center"/>
      <protection locked="0"/>
    </xf>
    <xf numFmtId="0" fontId="1" fillId="0" borderId="5" xfId="0" applyFont="1" applyBorder="1" applyAlignment="1" applyProtection="1">
      <alignment vertical="center"/>
      <protection locked="0"/>
    </xf>
    <xf numFmtId="0" fontId="2" fillId="0" borderId="0" xfId="0" applyFont="1" applyAlignment="1" applyProtection="1">
      <alignment vertical="center" wrapText="1"/>
      <protection locked="0"/>
    </xf>
    <xf numFmtId="0" fontId="2" fillId="0" borderId="7" xfId="0" applyFont="1" applyBorder="1" applyAlignment="1" applyProtection="1">
      <alignment vertical="center"/>
      <protection locked="0"/>
    </xf>
    <xf numFmtId="0" fontId="0" fillId="0" borderId="8" xfId="0" applyBorder="1" applyAlignment="1" applyProtection="1">
      <alignment vertical="center"/>
      <protection locked="0"/>
    </xf>
    <xf numFmtId="0" fontId="0" fillId="0" borderId="0" xfId="0" applyAlignment="1" applyProtection="1">
      <alignment horizontal="left"/>
      <protection locked="0"/>
    </xf>
    <xf numFmtId="0" fontId="28" fillId="0" borderId="0" xfId="0" applyFont="1" applyAlignment="1" applyProtection="1">
      <alignment vertical="top"/>
      <protection locked="0"/>
    </xf>
    <xf numFmtId="0" fontId="0" fillId="0" borderId="9" xfId="0" applyBorder="1" applyAlignment="1" applyProtection="1">
      <alignment horizontal="right"/>
      <protection locked="0"/>
    </xf>
    <xf numFmtId="0" fontId="0" fillId="0" borderId="22" xfId="0" applyBorder="1" applyProtection="1">
      <protection locked="0"/>
    </xf>
    <xf numFmtId="166" fontId="2" fillId="0" borderId="0" xfId="0" applyNumberFormat="1" applyFont="1" applyAlignment="1" applyProtection="1">
      <alignment vertical="top" wrapText="1"/>
      <protection locked="0"/>
    </xf>
    <xf numFmtId="0" fontId="0" fillId="0" borderId="24" xfId="0" applyBorder="1" applyProtection="1">
      <protection locked="0"/>
    </xf>
    <xf numFmtId="0" fontId="0" fillId="0" borderId="0" xfId="0" applyProtection="1">
      <protection locked="0" hidden="1"/>
    </xf>
    <xf numFmtId="0" fontId="0" fillId="0" borderId="0" xfId="0" applyAlignment="1" applyProtection="1">
      <alignment vertical="top" wrapText="1"/>
      <protection locked="0" hidden="1"/>
    </xf>
    <xf numFmtId="0" fontId="2" fillId="0" borderId="0" xfId="0" applyFont="1" applyProtection="1">
      <protection locked="0" hidden="1"/>
    </xf>
    <xf numFmtId="0" fontId="0" fillId="0" borderId="0" xfId="0" applyAlignment="1" applyProtection="1">
      <alignment textRotation="69"/>
      <protection locked="0" hidden="1"/>
    </xf>
    <xf numFmtId="166" fontId="0" fillId="0" borderId="0" xfId="0" applyNumberFormat="1" applyProtection="1">
      <protection locked="0" hidden="1"/>
    </xf>
    <xf numFmtId="0" fontId="0" fillId="0" borderId="0" xfId="0" applyAlignment="1" applyProtection="1">
      <alignment vertical="top" textRotation="69" wrapText="1"/>
      <protection locked="0" hidden="1"/>
    </xf>
    <xf numFmtId="166" fontId="0" fillId="0" borderId="0" xfId="0" applyNumberFormat="1" applyAlignment="1" applyProtection="1">
      <alignment vertical="top" wrapText="1"/>
      <protection locked="0" hidden="1"/>
    </xf>
    <xf numFmtId="166" fontId="0" fillId="0" borderId="0" xfId="0" applyNumberFormat="1" applyAlignment="1" applyProtection="1">
      <alignment horizontal="left" vertical="center"/>
      <protection locked="0"/>
    </xf>
    <xf numFmtId="166" fontId="5" fillId="0" borderId="0" xfId="0" applyNumberFormat="1" applyFont="1" applyProtection="1">
      <protection locked="0" hidden="1"/>
    </xf>
    <xf numFmtId="0" fontId="0" fillId="0" borderId="0" xfId="0" applyAlignment="1" applyProtection="1">
      <alignment wrapText="1" shrinkToFit="1"/>
      <protection locked="0"/>
    </xf>
    <xf numFmtId="0" fontId="2" fillId="0" borderId="0" xfId="0" applyFont="1" applyAlignment="1" applyProtection="1">
      <alignment wrapText="1" shrinkToFit="1"/>
      <protection locked="0"/>
    </xf>
    <xf numFmtId="0" fontId="8" fillId="0" borderId="1" xfId="0" applyFont="1" applyBorder="1" applyProtection="1">
      <protection locked="0" hidden="1"/>
    </xf>
    <xf numFmtId="0" fontId="8" fillId="0" borderId="2" xfId="0" applyFont="1" applyBorder="1" applyProtection="1">
      <protection locked="0" hidden="1"/>
    </xf>
    <xf numFmtId="0" fontId="8" fillId="0" borderId="3" xfId="0" applyFont="1" applyBorder="1" applyProtection="1">
      <protection locked="0" hidden="1"/>
    </xf>
    <xf numFmtId="0" fontId="0" fillId="0" borderId="0" xfId="0" applyAlignment="1" applyProtection="1">
      <alignment vertical="top" wrapText="1" shrinkToFit="1"/>
      <protection locked="0"/>
    </xf>
    <xf numFmtId="0" fontId="8" fillId="0" borderId="4" xfId="0" applyFont="1" applyBorder="1" applyProtection="1">
      <protection locked="0" hidden="1"/>
    </xf>
    <xf numFmtId="0" fontId="8" fillId="0" borderId="0" xfId="0" applyFont="1" applyProtection="1">
      <protection locked="0" hidden="1"/>
    </xf>
    <xf numFmtId="0" fontId="8" fillId="0" borderId="5" xfId="0" applyFont="1" applyBorder="1" applyProtection="1">
      <protection locked="0" hidden="1"/>
    </xf>
    <xf numFmtId="0" fontId="8" fillId="0" borderId="4" xfId="0" applyFont="1" applyBorder="1" applyAlignment="1" applyProtection="1">
      <alignment textRotation="69"/>
      <protection locked="0" hidden="1"/>
    </xf>
    <xf numFmtId="0" fontId="8" fillId="0" borderId="5" xfId="0" applyFont="1" applyBorder="1" applyAlignment="1" applyProtection="1">
      <alignment textRotation="69"/>
      <protection locked="0" hidden="1"/>
    </xf>
    <xf numFmtId="166" fontId="8" fillId="0" borderId="5" xfId="0" applyNumberFormat="1" applyFont="1" applyBorder="1" applyProtection="1">
      <protection locked="0" hidden="1"/>
    </xf>
    <xf numFmtId="0" fontId="8" fillId="0" borderId="6" xfId="0" applyFont="1" applyBorder="1" applyProtection="1">
      <protection locked="0" hidden="1"/>
    </xf>
    <xf numFmtId="0" fontId="8" fillId="0" borderId="7" xfId="0" applyFont="1" applyBorder="1" applyProtection="1">
      <protection locked="0" hidden="1"/>
    </xf>
    <xf numFmtId="166" fontId="8" fillId="0" borderId="8" xfId="0" applyNumberFormat="1" applyFont="1" applyBorder="1" applyProtection="1">
      <protection locked="0" hidden="1"/>
    </xf>
    <xf numFmtId="0" fontId="0" fillId="0" borderId="0" xfId="0" applyAlignment="1" applyProtection="1">
      <alignment horizontal="right"/>
      <protection locked="0"/>
    </xf>
    <xf numFmtId="0" fontId="21" fillId="0" borderId="0" xfId="0" applyFont="1" applyProtection="1">
      <protection locked="0" hidden="1"/>
    </xf>
    <xf numFmtId="14" fontId="22" fillId="0" borderId="0" xfId="0" applyNumberFormat="1" applyFont="1" applyProtection="1">
      <protection locked="0"/>
    </xf>
    <xf numFmtId="0" fontId="1" fillId="0" borderId="17" xfId="0" applyFont="1" applyBorder="1" applyAlignment="1" applyProtection="1">
      <alignment horizontal="center"/>
      <protection locked="0"/>
    </xf>
    <xf numFmtId="0" fontId="0" fillId="5" borderId="18" xfId="0" applyFill="1" applyBorder="1" applyProtection="1">
      <protection locked="0" hidden="1"/>
    </xf>
    <xf numFmtId="0" fontId="0" fillId="5" borderId="21" xfId="0" applyFill="1" applyBorder="1" applyProtection="1">
      <protection locked="0" hidden="1"/>
    </xf>
    <xf numFmtId="0" fontId="2" fillId="0" borderId="44" xfId="0" applyFont="1" applyBorder="1" applyProtection="1">
      <protection locked="0"/>
    </xf>
    <xf numFmtId="0" fontId="0" fillId="0" borderId="49" xfId="0" applyBorder="1" applyProtection="1">
      <protection locked="0"/>
    </xf>
    <xf numFmtId="0" fontId="0" fillId="0" borderId="45" xfId="0" applyBorder="1" applyProtection="1">
      <protection locked="0"/>
    </xf>
    <xf numFmtId="0" fontId="1" fillId="0" borderId="23" xfId="0" applyFont="1" applyBorder="1" applyProtection="1">
      <protection locked="0"/>
    </xf>
    <xf numFmtId="0" fontId="1" fillId="0" borderId="10" xfId="0" applyFont="1" applyBorder="1" applyProtection="1">
      <protection locked="0"/>
    </xf>
    <xf numFmtId="0" fontId="1" fillId="0" borderId="9" xfId="0" applyFont="1" applyBorder="1" applyProtection="1">
      <protection locked="0"/>
    </xf>
    <xf numFmtId="0" fontId="1" fillId="0" borderId="20" xfId="0" applyFont="1" applyBorder="1" applyProtection="1">
      <protection locked="0"/>
    </xf>
    <xf numFmtId="164" fontId="0" fillId="0" borderId="0" xfId="0" applyNumberFormat="1" applyAlignment="1" applyProtection="1">
      <alignment vertical="top" wrapText="1"/>
      <protection locked="0"/>
    </xf>
    <xf numFmtId="0" fontId="1" fillId="0" borderId="2" xfId="0" applyFont="1" applyBorder="1" applyAlignment="1" applyProtection="1">
      <alignment wrapText="1"/>
      <protection locked="0"/>
    </xf>
    <xf numFmtId="166" fontId="0" fillId="0" borderId="9" xfId="0" applyNumberFormat="1" applyBorder="1"/>
    <xf numFmtId="166" fontId="2" fillId="10" borderId="9" xfId="0" applyNumberFormat="1" applyFont="1" applyFill="1" applyBorder="1"/>
    <xf numFmtId="164" fontId="0" fillId="0" borderId="9" xfId="0" applyNumberFormat="1" applyBorder="1"/>
    <xf numFmtId="0" fontId="2" fillId="0" borderId="7" xfId="0" applyFont="1" applyBorder="1"/>
    <xf numFmtId="0" fontId="9" fillId="0" borderId="0" xfId="0" applyFont="1"/>
    <xf numFmtId="0" fontId="0" fillId="0" borderId="9" xfId="0" applyBorder="1"/>
    <xf numFmtId="166" fontId="0" fillId="8" borderId="9" xfId="0" applyNumberFormat="1" applyFill="1" applyBorder="1"/>
    <xf numFmtId="166" fontId="0" fillId="8" borderId="20" xfId="0" applyNumberFormat="1" applyFill="1" applyBorder="1"/>
    <xf numFmtId="1" fontId="0" fillId="0" borderId="18" xfId="0" applyNumberFormat="1" applyBorder="1"/>
    <xf numFmtId="1" fontId="0" fillId="0" borderId="21" xfId="0" applyNumberFormat="1" applyBorder="1"/>
    <xf numFmtId="1" fontId="0" fillId="0" borderId="19" xfId="0" applyNumberFormat="1" applyBorder="1"/>
    <xf numFmtId="1" fontId="2" fillId="0" borderId="8" xfId="0" applyNumberFormat="1" applyFont="1" applyBorder="1"/>
    <xf numFmtId="0" fontId="0" fillId="0" borderId="21" xfId="0" applyBorder="1"/>
    <xf numFmtId="0" fontId="0" fillId="0" borderId="19" xfId="0" applyBorder="1"/>
    <xf numFmtId="0" fontId="9" fillId="0" borderId="0" xfId="0" applyFont="1" applyAlignment="1">
      <alignment vertical="top" wrapText="1"/>
    </xf>
    <xf numFmtId="164" fontId="0" fillId="0" borderId="9" xfId="0" applyNumberFormat="1" applyBorder="1" applyAlignment="1">
      <alignment vertical="center"/>
    </xf>
    <xf numFmtId="2" fontId="1" fillId="6" borderId="9" xfId="0" applyNumberFormat="1" applyFont="1" applyFill="1" applyBorder="1" applyAlignment="1">
      <alignment horizontal="right" vertical="center"/>
    </xf>
    <xf numFmtId="2" fontId="0" fillId="2" borderId="20" xfId="0" applyNumberFormat="1" applyFill="1" applyBorder="1" applyAlignment="1">
      <alignment horizontal="right" vertical="center"/>
    </xf>
    <xf numFmtId="0" fontId="31" fillId="0" borderId="0" xfId="0" applyFont="1" applyAlignment="1">
      <alignment vertical="center"/>
    </xf>
    <xf numFmtId="166" fontId="2" fillId="0" borderId="0" xfId="0" applyNumberFormat="1" applyFont="1"/>
    <xf numFmtId="166" fontId="0" fillId="0" borderId="0" xfId="0" applyNumberFormat="1"/>
    <xf numFmtId="166" fontId="0" fillId="0" borderId="7" xfId="0" applyNumberFormat="1" applyBorder="1"/>
    <xf numFmtId="0" fontId="0" fillId="0" borderId="0" xfId="0" applyAlignment="1">
      <alignment horizontal="left"/>
    </xf>
    <xf numFmtId="0" fontId="0" fillId="0" borderId="7" xfId="0" applyBorder="1" applyAlignment="1">
      <alignment horizontal="left"/>
    </xf>
    <xf numFmtId="166" fontId="2" fillId="0" borderId="7" xfId="0" applyNumberFormat="1" applyFont="1" applyBorder="1"/>
    <xf numFmtId="0" fontId="0" fillId="0" borderId="12" xfId="0" applyBorder="1"/>
    <xf numFmtId="0" fontId="0" fillId="0" borderId="13" xfId="0" applyBorder="1"/>
    <xf numFmtId="0" fontId="0" fillId="0" borderId="15" xfId="0" applyBorder="1"/>
    <xf numFmtId="164" fontId="7" fillId="0" borderId="9" xfId="0" applyNumberFormat="1" applyFont="1" applyBorder="1" applyAlignment="1">
      <alignment horizontal="right"/>
    </xf>
    <xf numFmtId="2" fontId="16" fillId="0" borderId="9" xfId="0" applyNumberFormat="1" applyFont="1" applyBorder="1" applyAlignment="1">
      <alignment vertical="center"/>
    </xf>
    <xf numFmtId="164" fontId="16" fillId="0" borderId="9" xfId="0" applyNumberFormat="1" applyFont="1" applyBorder="1" applyAlignment="1">
      <alignment vertical="center"/>
    </xf>
    <xf numFmtId="1" fontId="1" fillId="0" borderId="9" xfId="0" applyNumberFormat="1" applyFont="1" applyBorder="1" applyAlignment="1">
      <alignment vertical="center"/>
    </xf>
    <xf numFmtId="0" fontId="28" fillId="0" borderId="0" xfId="0" applyFont="1" applyAlignment="1">
      <alignment horizontal="left" vertical="center"/>
    </xf>
    <xf numFmtId="0" fontId="28" fillId="0" borderId="0" xfId="0" applyFont="1" applyAlignment="1">
      <alignment vertical="center"/>
    </xf>
    <xf numFmtId="0" fontId="38" fillId="0" borderId="0" xfId="0" applyFont="1" applyAlignment="1">
      <alignment vertical="center"/>
    </xf>
    <xf numFmtId="0" fontId="1" fillId="0" borderId="33" xfId="0" applyFont="1" applyBorder="1" applyAlignment="1">
      <alignment horizontal="center" vertical="center"/>
    </xf>
    <xf numFmtId="0" fontId="38" fillId="0" borderId="0" xfId="0" applyFont="1" applyAlignment="1">
      <alignment vertical="center" wrapText="1"/>
    </xf>
    <xf numFmtId="164" fontId="2" fillId="0" borderId="10" xfId="0" applyNumberFormat="1" applyFont="1" applyBorder="1" applyAlignment="1">
      <alignment horizontal="center" vertical="center"/>
    </xf>
    <xf numFmtId="170" fontId="1" fillId="0" borderId="9" xfId="0" quotePrefix="1" applyNumberFormat="1" applyFont="1" applyBorder="1" applyAlignment="1">
      <alignment horizontal="center" vertical="center" wrapText="1"/>
    </xf>
    <xf numFmtId="164" fontId="2" fillId="0" borderId="58" xfId="0" quotePrefix="1" applyNumberFormat="1" applyFont="1" applyBorder="1" applyAlignment="1">
      <alignment horizontal="center" vertical="center" wrapText="1"/>
    </xf>
    <xf numFmtId="169" fontId="1" fillId="0" borderId="16" xfId="0" quotePrefix="1" applyNumberFormat="1" applyFont="1" applyBorder="1" applyAlignment="1">
      <alignment horizontal="center" vertical="center" wrapText="1"/>
    </xf>
    <xf numFmtId="0" fontId="28" fillId="0" borderId="0" xfId="0" applyFont="1"/>
    <xf numFmtId="0" fontId="1" fillId="0" borderId="0" xfId="0" applyFont="1" applyAlignment="1">
      <alignment horizontal="left"/>
    </xf>
    <xf numFmtId="166" fontId="0" fillId="0" borderId="65" xfId="0" applyNumberFormat="1" applyBorder="1"/>
    <xf numFmtId="164" fontId="25" fillId="0" borderId="45" xfId="0" applyNumberFormat="1" applyFont="1" applyBorder="1"/>
    <xf numFmtId="164" fontId="25" fillId="0" borderId="77" xfId="0" applyNumberFormat="1" applyFont="1" applyBorder="1"/>
    <xf numFmtId="0" fontId="1" fillId="0" borderId="9" xfId="0" quotePrefix="1" applyFont="1" applyBorder="1" applyAlignment="1">
      <alignment horizontal="center" vertical="center"/>
    </xf>
    <xf numFmtId="0" fontId="16" fillId="0" borderId="29" xfId="0" applyFont="1" applyBorder="1" applyAlignment="1">
      <alignment horizontal="right" vertical="center" wrapText="1"/>
    </xf>
    <xf numFmtId="0" fontId="16" fillId="0" borderId="30" xfId="0" applyFont="1" applyBorder="1" applyAlignment="1">
      <alignment horizontal="right" vertical="center" wrapText="1"/>
    </xf>
    <xf numFmtId="14" fontId="16" fillId="0" borderId="30" xfId="0" applyNumberFormat="1" applyFont="1" applyBorder="1" applyAlignment="1">
      <alignment horizontal="right" vertical="center" wrapText="1"/>
    </xf>
    <xf numFmtId="0" fontId="16" fillId="0" borderId="31" xfId="0" applyFont="1" applyBorder="1" applyAlignment="1">
      <alignment horizontal="right" vertical="center" wrapText="1"/>
    </xf>
    <xf numFmtId="167" fontId="0" fillId="0" borderId="9" xfId="0" applyNumberFormat="1" applyBorder="1" applyAlignment="1">
      <alignment horizontal="center" vertical="center"/>
    </xf>
    <xf numFmtId="167" fontId="1" fillId="0" borderId="9" xfId="0" applyNumberFormat="1" applyFont="1" applyBorder="1" applyAlignment="1">
      <alignment horizontal="center" vertical="center"/>
    </xf>
    <xf numFmtId="0" fontId="2" fillId="0" borderId="20" xfId="0" applyFont="1" applyBorder="1" applyAlignment="1">
      <alignment horizontal="left" vertical="center" wrapText="1"/>
    </xf>
    <xf numFmtId="0" fontId="2" fillId="0" borderId="20" xfId="0" applyFont="1" applyBorder="1" applyAlignment="1">
      <alignment horizontal="center" vertical="center" wrapText="1"/>
    </xf>
    <xf numFmtId="0" fontId="2" fillId="0" borderId="50" xfId="0" applyFont="1" applyBorder="1" applyAlignment="1">
      <alignment horizontal="center" vertical="center" wrapText="1"/>
    </xf>
    <xf numFmtId="0" fontId="2" fillId="0" borderId="42" xfId="0" applyFont="1" applyBorder="1" applyAlignment="1">
      <alignment horizontal="center" vertical="center" wrapText="1"/>
    </xf>
    <xf numFmtId="0" fontId="2" fillId="0" borderId="44" xfId="0" applyFont="1" applyBorder="1" applyAlignment="1">
      <alignment horizontal="center" vertical="center" wrapText="1"/>
    </xf>
    <xf numFmtId="0" fontId="0" fillId="0" borderId="17" xfId="0" applyBorder="1" applyAlignment="1">
      <alignment vertical="center"/>
    </xf>
    <xf numFmtId="167" fontId="0" fillId="0" borderId="17" xfId="0" applyNumberFormat="1" applyBorder="1" applyAlignment="1">
      <alignment horizontal="center" vertical="center"/>
    </xf>
    <xf numFmtId="1" fontId="0" fillId="0" borderId="17" xfId="0" applyNumberFormat="1" applyBorder="1" applyAlignment="1">
      <alignment horizontal="center" vertical="center"/>
    </xf>
    <xf numFmtId="0" fontId="1" fillId="0" borderId="9" xfId="0" applyFont="1" applyBorder="1" applyAlignment="1">
      <alignment vertical="center"/>
    </xf>
    <xf numFmtId="0" fontId="1" fillId="0" borderId="17" xfId="0" applyFont="1" applyBorder="1" applyAlignment="1">
      <alignment vertical="center"/>
    </xf>
    <xf numFmtId="0" fontId="1" fillId="0" borderId="17" xfId="0" applyFont="1" applyBorder="1" applyAlignment="1">
      <alignment horizontal="center" vertical="center"/>
    </xf>
    <xf numFmtId="0" fontId="0" fillId="6" borderId="17" xfId="0" applyFill="1" applyBorder="1" applyAlignment="1">
      <alignment horizontal="center" vertical="center"/>
    </xf>
    <xf numFmtId="0" fontId="0" fillId="0" borderId="10" xfId="0" applyBorder="1" applyAlignment="1">
      <alignment vertical="center"/>
    </xf>
    <xf numFmtId="0" fontId="0" fillId="0" borderId="10" xfId="0" applyBorder="1" applyAlignment="1">
      <alignment horizontal="center" vertical="center"/>
    </xf>
    <xf numFmtId="0" fontId="0" fillId="0" borderId="56" xfId="0" applyBorder="1" applyAlignment="1">
      <alignment horizontal="center" vertical="center"/>
    </xf>
    <xf numFmtId="0" fontId="0" fillId="0" borderId="56" xfId="0" applyBorder="1" applyAlignment="1">
      <alignment vertical="center"/>
    </xf>
    <xf numFmtId="0" fontId="1" fillId="0" borderId="10" xfId="0" applyFont="1" applyBorder="1" applyAlignment="1">
      <alignment vertical="center"/>
    </xf>
    <xf numFmtId="1" fontId="0" fillId="0" borderId="9" xfId="0" applyNumberFormat="1" applyBorder="1" applyAlignment="1">
      <alignment horizontal="center" vertical="center"/>
    </xf>
    <xf numFmtId="0" fontId="1" fillId="0" borderId="9" xfId="0" applyFont="1" applyBorder="1" applyAlignment="1">
      <alignment horizontal="left" vertical="center" wrapText="1"/>
    </xf>
    <xf numFmtId="0" fontId="1" fillId="0" borderId="9" xfId="0" applyFont="1" applyBorder="1" applyAlignment="1">
      <alignment horizontal="center" vertical="center"/>
    </xf>
    <xf numFmtId="0" fontId="0" fillId="6" borderId="9" xfId="0" applyFill="1" applyBorder="1" applyAlignment="1">
      <alignment horizontal="center" vertical="center"/>
    </xf>
    <xf numFmtId="0" fontId="1" fillId="0" borderId="0" xfId="0" applyFont="1" applyAlignment="1">
      <alignment horizontal="center" vertical="center"/>
    </xf>
    <xf numFmtId="0" fontId="1" fillId="0" borderId="32" xfId="0" applyFont="1" applyBorder="1" applyAlignment="1">
      <alignment horizontal="center" vertical="center"/>
    </xf>
    <xf numFmtId="0" fontId="0" fillId="0" borderId="32" xfId="0" applyBorder="1" applyAlignment="1">
      <alignment vertical="center"/>
    </xf>
    <xf numFmtId="0" fontId="0" fillId="5" borderId="32" xfId="0" applyFill="1" applyBorder="1" applyAlignment="1">
      <alignment vertical="center"/>
    </xf>
    <xf numFmtId="169" fontId="0" fillId="5" borderId="9" xfId="0" applyNumberFormat="1" applyFill="1" applyBorder="1" applyAlignment="1">
      <alignment vertical="center"/>
    </xf>
    <xf numFmtId="0" fontId="1" fillId="5" borderId="0" xfId="0" applyFont="1" applyFill="1" applyAlignment="1">
      <alignment vertical="center"/>
    </xf>
    <xf numFmtId="1" fontId="1" fillId="0" borderId="9" xfId="0" applyNumberFormat="1" applyFont="1" applyBorder="1" applyAlignment="1">
      <alignment horizontal="center" vertical="center"/>
    </xf>
    <xf numFmtId="0" fontId="1" fillId="0" borderId="9" xfId="0" applyFont="1" applyBorder="1" applyAlignment="1">
      <alignment vertical="center" wrapText="1"/>
    </xf>
    <xf numFmtId="0" fontId="0" fillId="0" borderId="9" xfId="0" applyBorder="1" applyAlignment="1">
      <alignment horizontal="center" vertical="center"/>
    </xf>
    <xf numFmtId="0" fontId="1" fillId="0" borderId="10" xfId="0" applyFont="1" applyBorder="1" applyAlignment="1">
      <alignment horizontal="center" vertical="center"/>
    </xf>
    <xf numFmtId="0" fontId="1" fillId="0" borderId="56" xfId="0" applyFont="1" applyBorder="1" applyAlignment="1">
      <alignment horizontal="center" vertical="center"/>
    </xf>
    <xf numFmtId="0" fontId="1" fillId="0" borderId="9" xfId="0" applyFont="1" applyBorder="1" applyAlignment="1">
      <alignment horizontal="center" vertical="center" wrapText="1"/>
    </xf>
    <xf numFmtId="0" fontId="1" fillId="0" borderId="16" xfId="0" applyFont="1" applyBorder="1" applyAlignment="1">
      <alignment vertical="center"/>
    </xf>
    <xf numFmtId="167" fontId="1" fillId="0" borderId="16" xfId="0" applyNumberFormat="1" applyFont="1" applyBorder="1" applyAlignment="1">
      <alignment horizontal="center" vertical="center"/>
    </xf>
    <xf numFmtId="1" fontId="1" fillId="0" borderId="16" xfId="0" applyNumberFormat="1" applyFont="1" applyBorder="1" applyAlignment="1">
      <alignment horizontal="center" vertical="center"/>
    </xf>
    <xf numFmtId="0" fontId="0" fillId="0" borderId="32" xfId="0" applyBorder="1" applyAlignment="1">
      <alignment horizontal="center" vertical="center"/>
    </xf>
    <xf numFmtId="167" fontId="1" fillId="3" borderId="9" xfId="0" applyNumberFormat="1" applyFont="1" applyFill="1" applyBorder="1" applyAlignment="1">
      <alignment horizontal="center" vertical="center"/>
    </xf>
    <xf numFmtId="0" fontId="0" fillId="0" borderId="16" xfId="0" applyBorder="1" applyAlignment="1">
      <alignment vertical="center"/>
    </xf>
    <xf numFmtId="0" fontId="2" fillId="0" borderId="20" xfId="0" applyFont="1" applyBorder="1" applyAlignment="1">
      <alignment horizontal="center" vertical="center"/>
    </xf>
    <xf numFmtId="0" fontId="2" fillId="0" borderId="10" xfId="0" applyFont="1" applyBorder="1" applyAlignment="1">
      <alignment vertical="center"/>
    </xf>
    <xf numFmtId="167" fontId="0" fillId="0" borderId="10" xfId="0" applyNumberFormat="1" applyBorder="1" applyAlignment="1">
      <alignment vertical="center"/>
    </xf>
    <xf numFmtId="0" fontId="2" fillId="0" borderId="9" xfId="0" applyFont="1" applyBorder="1" applyAlignment="1">
      <alignment vertical="center"/>
    </xf>
    <xf numFmtId="0" fontId="1" fillId="0" borderId="9" xfId="0" applyFont="1" applyBorder="1" applyAlignment="1">
      <alignment horizontal="right" vertical="center"/>
    </xf>
    <xf numFmtId="167" fontId="1" fillId="0" borderId="9" xfId="0" applyNumberFormat="1" applyFont="1" applyBorder="1" applyAlignment="1">
      <alignment horizontal="right" vertical="center"/>
    </xf>
    <xf numFmtId="167" fontId="0" fillId="0" borderId="9" xfId="0" applyNumberFormat="1" applyBorder="1" applyAlignment="1">
      <alignment vertical="center"/>
    </xf>
    <xf numFmtId="0" fontId="2" fillId="0" borderId="0" xfId="0" applyFont="1" applyAlignment="1">
      <alignment vertical="center"/>
    </xf>
    <xf numFmtId="0" fontId="18" fillId="0" borderId="20" xfId="0" applyFont="1" applyBorder="1" applyAlignment="1">
      <alignment horizontal="center" vertical="center"/>
    </xf>
    <xf numFmtId="0" fontId="18" fillId="0" borderId="10" xfId="0" applyFont="1" applyBorder="1" applyAlignment="1">
      <alignment vertical="center"/>
    </xf>
    <xf numFmtId="0" fontId="16" fillId="0" borderId="10" xfId="0" applyFont="1" applyBorder="1" applyAlignment="1">
      <alignment vertical="center"/>
    </xf>
    <xf numFmtId="167" fontId="16" fillId="0" borderId="10" xfId="0" applyNumberFormat="1" applyFont="1" applyBorder="1" applyAlignment="1">
      <alignment vertical="center"/>
    </xf>
    <xf numFmtId="0" fontId="16" fillId="0" borderId="9" xfId="0" applyFont="1" applyBorder="1" applyAlignment="1">
      <alignment vertical="center"/>
    </xf>
    <xf numFmtId="0" fontId="18" fillId="0" borderId="0" xfId="0" applyFont="1" applyAlignment="1">
      <alignment vertical="center"/>
    </xf>
    <xf numFmtId="167" fontId="16" fillId="0" borderId="0" xfId="0" applyNumberFormat="1" applyFont="1" applyAlignment="1">
      <alignment vertical="center"/>
    </xf>
    <xf numFmtId="0" fontId="18" fillId="0" borderId="9" xfId="0" applyFont="1" applyBorder="1" applyAlignment="1">
      <alignment vertical="center"/>
    </xf>
    <xf numFmtId="2" fontId="16" fillId="0" borderId="10" xfId="0" applyNumberFormat="1" applyFont="1" applyBorder="1" applyAlignment="1">
      <alignment vertical="center"/>
    </xf>
    <xf numFmtId="0" fontId="5" fillId="0" borderId="42" xfId="0" applyFont="1" applyBorder="1" applyAlignment="1">
      <alignment vertical="center"/>
    </xf>
    <xf numFmtId="0" fontId="5" fillId="0" borderId="42" xfId="0" applyFont="1" applyBorder="1" applyAlignment="1">
      <alignment horizontal="center" vertical="center"/>
    </xf>
    <xf numFmtId="0" fontId="2" fillId="0" borderId="42" xfId="0" applyFont="1" applyBorder="1" applyAlignment="1">
      <alignment vertical="center"/>
    </xf>
    <xf numFmtId="0" fontId="5" fillId="0" borderId="18" xfId="0" applyFont="1" applyBorder="1" applyAlignment="1">
      <alignment vertical="center"/>
    </xf>
    <xf numFmtId="0" fontId="10" fillId="0" borderId="15" xfId="0" applyFont="1" applyBorder="1" applyAlignment="1">
      <alignment vertical="center"/>
    </xf>
    <xf numFmtId="0" fontId="5" fillId="0" borderId="54" xfId="0" applyFont="1" applyBorder="1" applyAlignment="1">
      <alignment vertical="center"/>
    </xf>
    <xf numFmtId="0" fontId="10" fillId="0" borderId="33" xfId="0" applyFont="1" applyBorder="1" applyAlignment="1">
      <alignment vertical="center"/>
    </xf>
    <xf numFmtId="167" fontId="10" fillId="0" borderId="51" xfId="0" applyNumberFormat="1" applyFont="1" applyBorder="1" applyAlignment="1">
      <alignment vertical="center"/>
    </xf>
    <xf numFmtId="167" fontId="10" fillId="0" borderId="52" xfId="0" applyNumberFormat="1" applyFont="1" applyBorder="1" applyAlignment="1">
      <alignment vertical="center"/>
    </xf>
    <xf numFmtId="0" fontId="10" fillId="0" borderId="51" xfId="0" applyFont="1" applyBorder="1" applyAlignment="1">
      <alignment vertical="center"/>
    </xf>
    <xf numFmtId="0" fontId="5" fillId="0" borderId="36" xfId="0" applyFont="1" applyBorder="1" applyAlignment="1">
      <alignment vertical="center"/>
    </xf>
    <xf numFmtId="0" fontId="10" fillId="0" borderId="52" xfId="0" applyFont="1" applyBorder="1" applyAlignment="1">
      <alignment vertical="center"/>
    </xf>
    <xf numFmtId="0" fontId="5" fillId="0" borderId="55" xfId="0" applyFont="1" applyBorder="1" applyAlignment="1">
      <alignment vertical="center"/>
    </xf>
    <xf numFmtId="0" fontId="10" fillId="0" borderId="53" xfId="0" applyFont="1" applyBorder="1" applyAlignment="1">
      <alignment vertical="center"/>
    </xf>
    <xf numFmtId="0" fontId="10" fillId="0" borderId="42" xfId="0" applyFont="1" applyBorder="1" applyAlignment="1">
      <alignment horizontal="right" vertical="center"/>
    </xf>
    <xf numFmtId="0" fontId="5" fillId="0" borderId="19" xfId="0" applyFont="1" applyBorder="1" applyAlignment="1">
      <alignment vertical="center"/>
    </xf>
    <xf numFmtId="0" fontId="0" fillId="0" borderId="42" xfId="0" applyBorder="1" applyAlignment="1">
      <alignment vertical="center"/>
    </xf>
    <xf numFmtId="0" fontId="0" fillId="0" borderId="0" xfId="0" applyAlignment="1">
      <alignment horizontal="center" vertical="center"/>
    </xf>
    <xf numFmtId="0" fontId="2" fillId="0" borderId="70" xfId="0" applyFont="1" applyBorder="1" applyAlignment="1">
      <alignment horizontal="center" vertical="center"/>
    </xf>
    <xf numFmtId="0" fontId="1" fillId="0" borderId="12" xfId="0" applyFont="1" applyBorder="1" applyAlignment="1">
      <alignment horizontal="center" vertical="center"/>
    </xf>
    <xf numFmtId="0" fontId="1" fillId="0" borderId="0" xfId="0" applyFont="1" applyAlignment="1">
      <alignment horizontal="left" vertical="center"/>
    </xf>
    <xf numFmtId="0" fontId="1" fillId="0" borderId="35" xfId="0" applyFont="1" applyBorder="1" applyAlignment="1">
      <alignment horizontal="center" vertical="center"/>
    </xf>
    <xf numFmtId="0" fontId="0" fillId="0" borderId="13" xfId="0" applyBorder="1" applyAlignment="1">
      <alignment horizontal="center" vertical="center"/>
    </xf>
    <xf numFmtId="0" fontId="1" fillId="0" borderId="0" xfId="0" applyFont="1" applyAlignment="1">
      <alignment horizontal="center"/>
    </xf>
    <xf numFmtId="0" fontId="1" fillId="0" borderId="15" xfId="0" applyFont="1" applyBorder="1" applyAlignment="1">
      <alignment horizontal="center"/>
    </xf>
    <xf numFmtId="0" fontId="2" fillId="0" borderId="0" xfId="0" applyFont="1" applyAlignment="1">
      <alignment horizontal="right" vertical="center"/>
    </xf>
    <xf numFmtId="0" fontId="1" fillId="0" borderId="0" xfId="0" applyFont="1"/>
    <xf numFmtId="0" fontId="0" fillId="0" borderId="10" xfId="0" applyBorder="1" applyAlignment="1" applyProtection="1">
      <alignment vertical="center"/>
      <protection locked="0"/>
    </xf>
    <xf numFmtId="0" fontId="0" fillId="0" borderId="9" xfId="0" applyBorder="1" applyAlignment="1" applyProtection="1">
      <alignment vertical="center"/>
      <protection locked="0"/>
    </xf>
    <xf numFmtId="0" fontId="10" fillId="0" borderId="10" xfId="0" applyFont="1" applyBorder="1" applyAlignment="1">
      <alignment horizontal="center" vertical="center"/>
    </xf>
    <xf numFmtId="0" fontId="10" fillId="0" borderId="9" xfId="0" applyFont="1" applyBorder="1" applyAlignment="1">
      <alignment horizontal="center" vertical="center"/>
    </xf>
    <xf numFmtId="0" fontId="1" fillId="0" borderId="16" xfId="0" applyFont="1" applyBorder="1" applyAlignment="1">
      <alignment horizontal="center" vertical="center"/>
    </xf>
    <xf numFmtId="0" fontId="0" fillId="0" borderId="9" xfId="0" applyBorder="1" applyAlignment="1" applyProtection="1">
      <alignment horizontal="center" vertical="center"/>
      <protection locked="0"/>
    </xf>
    <xf numFmtId="0" fontId="0" fillId="0" borderId="56" xfId="0" applyBorder="1" applyAlignment="1" applyProtection="1">
      <alignment vertical="center"/>
      <protection locked="0"/>
    </xf>
    <xf numFmtId="0" fontId="0" fillId="5" borderId="5" xfId="0" applyFill="1" applyBorder="1" applyProtection="1">
      <protection locked="0"/>
    </xf>
    <xf numFmtId="0" fontId="1" fillId="5" borderId="9" xfId="0" applyFont="1" applyFill="1" applyBorder="1" applyProtection="1">
      <protection locked="0"/>
    </xf>
    <xf numFmtId="0" fontId="1" fillId="0" borderId="19" xfId="0" applyFont="1" applyBorder="1" applyProtection="1">
      <protection locked="0"/>
    </xf>
    <xf numFmtId="0" fontId="0" fillId="5" borderId="9" xfId="0" applyFill="1" applyBorder="1" applyProtection="1">
      <protection locked="0"/>
    </xf>
    <xf numFmtId="0" fontId="0" fillId="5" borderId="0" xfId="0" applyFill="1" applyProtection="1">
      <protection locked="0"/>
    </xf>
    <xf numFmtId="0" fontId="38" fillId="0" borderId="35" xfId="0" applyFont="1" applyBorder="1" applyAlignment="1">
      <alignment horizontal="center" vertical="center" wrapText="1"/>
    </xf>
    <xf numFmtId="164" fontId="24" fillId="5" borderId="9" xfId="0" applyNumberFormat="1" applyFont="1" applyFill="1" applyBorder="1" applyAlignment="1" applyProtection="1">
      <alignment horizontal="center"/>
      <protection locked="0" hidden="1"/>
    </xf>
    <xf numFmtId="0" fontId="0" fillId="0" borderId="0" xfId="0" applyAlignment="1">
      <alignment vertical="center" wrapText="1"/>
    </xf>
    <xf numFmtId="0" fontId="3" fillId="0" borderId="0" xfId="0" applyFont="1"/>
    <xf numFmtId="0" fontId="2" fillId="0" borderId="0" xfId="0" applyFont="1" applyAlignment="1">
      <alignment horizontal="center" vertical="center" wrapText="1"/>
    </xf>
    <xf numFmtId="0" fontId="30" fillId="11" borderId="0" xfId="0" applyFont="1" applyFill="1" applyAlignment="1" applyProtection="1">
      <alignment horizontal="center" vertical="center"/>
      <protection locked="0"/>
    </xf>
    <xf numFmtId="166" fontId="30" fillId="11" borderId="3" xfId="0" applyNumberFormat="1" applyFont="1" applyFill="1" applyBorder="1" applyProtection="1">
      <protection locked="0"/>
    </xf>
    <xf numFmtId="2" fontId="1" fillId="0" borderId="0" xfId="0" quotePrefix="1"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vertical="center"/>
    </xf>
    <xf numFmtId="166" fontId="0" fillId="0" borderId="0" xfId="0" applyNumberFormat="1" applyAlignment="1">
      <alignment horizontal="right" vertical="center"/>
    </xf>
    <xf numFmtId="0" fontId="38" fillId="0" borderId="0" xfId="0" applyFont="1" applyAlignment="1">
      <alignment horizontal="right" vertical="center"/>
    </xf>
    <xf numFmtId="164" fontId="0" fillId="0" borderId="0" xfId="0" applyNumberFormat="1" applyAlignment="1">
      <alignment horizontal="right" vertical="center"/>
    </xf>
    <xf numFmtId="164" fontId="1" fillId="0" borderId="0" xfId="0" applyNumberFormat="1" applyFont="1" applyAlignment="1">
      <alignment horizontal="right" vertical="center"/>
    </xf>
    <xf numFmtId="164" fontId="0" fillId="0" borderId="9" xfId="0" applyNumberFormat="1" applyBorder="1" applyAlignment="1">
      <alignment horizontal="right" vertical="center"/>
    </xf>
    <xf numFmtId="164" fontId="0" fillId="2" borderId="9" xfId="0" applyNumberFormat="1" applyFill="1" applyBorder="1" applyAlignment="1">
      <alignment horizontal="right" vertical="center"/>
    </xf>
    <xf numFmtId="0" fontId="0" fillId="0" borderId="0" xfId="0" applyAlignment="1">
      <alignment horizontal="right" vertical="center"/>
    </xf>
    <xf numFmtId="0" fontId="38" fillId="0" borderId="0" xfId="0" applyFont="1" applyAlignment="1">
      <alignment horizontal="center" vertical="center"/>
    </xf>
    <xf numFmtId="0" fontId="2" fillId="0" borderId="0" xfId="0" applyFont="1" applyAlignment="1">
      <alignment horizontal="right" vertical="center" wrapText="1"/>
    </xf>
    <xf numFmtId="166" fontId="0" fillId="10" borderId="9" xfId="0" applyNumberFormat="1" applyFill="1" applyBorder="1" applyAlignment="1">
      <alignment horizontal="right" vertical="center"/>
    </xf>
    <xf numFmtId="164" fontId="1" fillId="0" borderId="9" xfId="0" applyNumberFormat="1" applyFont="1" applyBorder="1" applyAlignment="1" applyProtection="1">
      <alignment horizontal="right" vertical="center"/>
      <protection locked="0"/>
    </xf>
    <xf numFmtId="164" fontId="38" fillId="0" borderId="9" xfId="0" applyNumberFormat="1" applyFont="1" applyBorder="1" applyAlignment="1" applyProtection="1">
      <alignment horizontal="right" vertical="center"/>
      <protection locked="0"/>
    </xf>
    <xf numFmtId="0" fontId="1" fillId="0" borderId="0" xfId="0" applyFont="1" applyAlignment="1" applyProtection="1">
      <alignment horizontal="left" vertical="center" wrapText="1"/>
      <protection locked="0"/>
    </xf>
    <xf numFmtId="0" fontId="0" fillId="0" borderId="0" xfId="0" applyAlignment="1" applyProtection="1">
      <alignment horizontal="left" vertical="center" wrapText="1"/>
      <protection locked="0"/>
    </xf>
    <xf numFmtId="167" fontId="1" fillId="0" borderId="9" xfId="0" applyNumberFormat="1" applyFont="1" applyBorder="1" applyAlignment="1">
      <alignment horizontal="center" vertical="center"/>
    </xf>
    <xf numFmtId="167" fontId="0" fillId="0" borderId="9" xfId="0" applyNumberFormat="1" applyBorder="1" applyAlignment="1">
      <alignment horizontal="center" vertical="center"/>
    </xf>
    <xf numFmtId="0" fontId="0" fillId="0" borderId="0" xfId="0" applyAlignment="1">
      <alignment horizontal="right" vertical="center"/>
    </xf>
    <xf numFmtId="0" fontId="38" fillId="0" borderId="35" xfId="0" applyFont="1" applyBorder="1" applyAlignment="1" applyProtection="1">
      <alignment horizontal="left" vertical="center" wrapText="1"/>
      <protection hidden="1"/>
    </xf>
    <xf numFmtId="0" fontId="38" fillId="0" borderId="0" xfId="0" applyFont="1" applyAlignment="1" applyProtection="1">
      <alignment horizontal="left" vertical="center" wrapText="1"/>
      <protection hidden="1"/>
    </xf>
    <xf numFmtId="0" fontId="2" fillId="0" borderId="0" xfId="0" applyFont="1" applyAlignment="1">
      <alignment horizontal="right" vertical="center"/>
    </xf>
    <xf numFmtId="0" fontId="2" fillId="0" borderId="13" xfId="0" applyFont="1" applyBorder="1" applyAlignment="1">
      <alignment horizontal="right" vertical="center"/>
    </xf>
    <xf numFmtId="0" fontId="38" fillId="0" borderId="0" xfId="0" applyFont="1" applyAlignment="1">
      <alignment horizontal="right" vertical="center"/>
    </xf>
    <xf numFmtId="0" fontId="38" fillId="0" borderId="13" xfId="0" applyFont="1" applyBorder="1" applyAlignment="1">
      <alignment horizontal="right" vertical="center"/>
    </xf>
    <xf numFmtId="0" fontId="2" fillId="0" borderId="0" xfId="0" applyFont="1" applyAlignment="1">
      <alignment horizontal="center" vertical="center" wrapText="1"/>
    </xf>
    <xf numFmtId="0" fontId="2" fillId="0" borderId="13" xfId="0" applyFont="1" applyBorder="1" applyAlignment="1" applyProtection="1">
      <alignment horizontal="right" vertical="center"/>
      <protection locked="0"/>
    </xf>
    <xf numFmtId="0" fontId="2" fillId="0" borderId="17" xfId="0" applyFont="1" applyBorder="1" applyAlignment="1" applyProtection="1">
      <alignment horizontal="right" vertical="center"/>
      <protection locked="0"/>
    </xf>
    <xf numFmtId="0" fontId="2" fillId="0" borderId="2" xfId="0" applyFont="1" applyBorder="1" applyAlignment="1" applyProtection="1">
      <alignment horizontal="center" vertical="center" textRotation="90" wrapText="1"/>
      <protection locked="0"/>
    </xf>
    <xf numFmtId="0" fontId="2" fillId="0" borderId="0" xfId="0" applyFont="1" applyAlignment="1" applyProtection="1">
      <alignment horizontal="center" vertical="center" textRotation="90" wrapText="1"/>
      <protection locked="0"/>
    </xf>
    <xf numFmtId="0" fontId="28" fillId="0" borderId="4" xfId="0" applyFont="1" applyBorder="1" applyAlignment="1">
      <alignment horizontal="left" vertical="center" wrapText="1"/>
    </xf>
    <xf numFmtId="0" fontId="28" fillId="0" borderId="0" xfId="0" applyFont="1" applyAlignment="1">
      <alignment horizontal="left" vertical="center" wrapText="1"/>
    </xf>
    <xf numFmtId="0" fontId="1" fillId="0" borderId="0" xfId="0" applyFont="1" applyAlignment="1" applyProtection="1">
      <alignment horizontal="right" vertical="center"/>
      <protection locked="0"/>
    </xf>
    <xf numFmtId="0" fontId="5"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0" borderId="7" xfId="0" applyFont="1" applyBorder="1" applyAlignment="1" applyProtection="1">
      <alignment horizontal="right" vertical="center"/>
      <protection locked="0"/>
    </xf>
    <xf numFmtId="0" fontId="2" fillId="0" borderId="34" xfId="0" applyFont="1" applyBorder="1" applyAlignment="1" applyProtection="1">
      <alignment horizontal="right" vertical="center"/>
      <protection locked="0"/>
    </xf>
    <xf numFmtId="0" fontId="1"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2" fillId="7" borderId="39" xfId="0" applyFont="1" applyFill="1" applyBorder="1" applyAlignment="1" applyProtection="1">
      <alignment horizontal="center" vertical="center"/>
      <protection locked="0"/>
    </xf>
    <xf numFmtId="0" fontId="2" fillId="7" borderId="40" xfId="0" applyFont="1" applyFill="1" applyBorder="1" applyAlignment="1" applyProtection="1">
      <alignment horizontal="center" vertical="center"/>
      <protection locked="0"/>
    </xf>
    <xf numFmtId="0" fontId="2" fillId="7" borderId="41" xfId="0" applyFont="1" applyFill="1"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5" fillId="0" borderId="1" xfId="0" applyFont="1" applyBorder="1" applyAlignment="1" applyProtection="1">
      <alignment horizontal="center" vertical="center" textRotation="90"/>
      <protection locked="0"/>
    </xf>
    <xf numFmtId="0" fontId="5" fillId="0" borderId="4" xfId="0" applyFont="1" applyBorder="1" applyAlignment="1" applyProtection="1">
      <alignment horizontal="center" vertical="center" textRotation="90"/>
      <protection locked="0"/>
    </xf>
    <xf numFmtId="0" fontId="5" fillId="0" borderId="6" xfId="0" applyFont="1" applyBorder="1" applyAlignment="1" applyProtection="1">
      <alignment horizontal="center" vertical="center" textRotation="90"/>
      <protection locked="0"/>
    </xf>
    <xf numFmtId="0" fontId="2" fillId="0" borderId="0" xfId="0" applyFont="1" applyAlignment="1" applyProtection="1">
      <alignment horizontal="right" vertical="center" wrapText="1"/>
      <protection locked="0"/>
    </xf>
    <xf numFmtId="0" fontId="2" fillId="0" borderId="13" xfId="0" applyFont="1" applyBorder="1" applyAlignment="1" applyProtection="1">
      <alignment horizontal="right" vertical="center" wrapText="1"/>
      <protection locked="0"/>
    </xf>
    <xf numFmtId="167" fontId="1" fillId="0" borderId="32" xfId="0" applyNumberFormat="1" applyFont="1" applyBorder="1" applyAlignment="1">
      <alignment horizontal="center" vertical="center"/>
    </xf>
    <xf numFmtId="167" fontId="0" fillId="0" borderId="33" xfId="0" applyNumberFormat="1" applyBorder="1" applyAlignment="1">
      <alignment horizontal="center" vertical="center"/>
    </xf>
    <xf numFmtId="0" fontId="15" fillId="0" borderId="6" xfId="0" applyFont="1" applyBorder="1" applyAlignment="1" applyProtection="1">
      <alignment horizontal="center" vertical="center" wrapText="1"/>
      <protection locked="0"/>
    </xf>
    <xf numFmtId="0" fontId="15" fillId="0" borderId="34" xfId="0" applyFont="1" applyBorder="1" applyAlignment="1" applyProtection="1">
      <alignment horizontal="center" vertical="center" wrapText="1"/>
      <protection locked="0"/>
    </xf>
    <xf numFmtId="0" fontId="2" fillId="7" borderId="9" xfId="0" applyFont="1" applyFill="1" applyBorder="1" applyAlignment="1" applyProtection="1">
      <alignment horizontal="center" vertical="center" wrapText="1"/>
      <protection locked="0"/>
    </xf>
    <xf numFmtId="0" fontId="2" fillId="0" borderId="2" xfId="0" applyFont="1" applyBorder="1" applyAlignment="1" applyProtection="1">
      <alignment horizontal="right" vertical="center"/>
      <protection locked="0"/>
    </xf>
    <xf numFmtId="0" fontId="2" fillId="0" borderId="72" xfId="0" applyFont="1" applyBorder="1" applyAlignment="1" applyProtection="1">
      <alignment horizontal="right" vertical="center"/>
      <protection locked="0"/>
    </xf>
    <xf numFmtId="0" fontId="2" fillId="7" borderId="32" xfId="0" applyFont="1" applyFill="1" applyBorder="1" applyAlignment="1" applyProtection="1">
      <alignment horizontal="center" vertical="center" wrapText="1"/>
      <protection locked="0"/>
    </xf>
    <xf numFmtId="0" fontId="2" fillId="7" borderId="33" xfId="0" applyFont="1" applyFill="1" applyBorder="1" applyAlignment="1" applyProtection="1">
      <alignment horizontal="center" vertical="center" wrapText="1"/>
      <protection locked="0"/>
    </xf>
    <xf numFmtId="0" fontId="2" fillId="7" borderId="71" xfId="0" applyFont="1" applyFill="1" applyBorder="1" applyAlignment="1" applyProtection="1">
      <alignment horizontal="center" vertical="center" wrapText="1"/>
      <protection locked="0"/>
    </xf>
    <xf numFmtId="0" fontId="2" fillId="7" borderId="12"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36" fillId="0" borderId="0" xfId="0" applyFont="1" applyAlignment="1">
      <alignment horizontal="center" vertical="center" wrapText="1"/>
    </xf>
    <xf numFmtId="0" fontId="21" fillId="0" borderId="0" xfId="0" applyFont="1" applyAlignment="1">
      <alignment horizontal="center" vertical="center" wrapText="1"/>
    </xf>
    <xf numFmtId="0" fontId="1" fillId="0" borderId="44" xfId="0" applyFont="1" applyBorder="1" applyAlignment="1" applyProtection="1">
      <alignment horizontal="center" vertical="center" wrapText="1"/>
      <protection locked="0"/>
    </xf>
    <xf numFmtId="0" fontId="1" fillId="0" borderId="45" xfId="0" applyFont="1" applyBorder="1" applyAlignment="1" applyProtection="1">
      <alignment horizontal="center" vertical="center" wrapText="1"/>
      <protection locked="0"/>
    </xf>
    <xf numFmtId="0" fontId="30" fillId="11" borderId="32" xfId="0" applyFont="1" applyFill="1" applyBorder="1" applyAlignment="1" applyProtection="1">
      <alignment horizontal="right" vertical="center"/>
      <protection locked="0"/>
    </xf>
    <xf numFmtId="0" fontId="30" fillId="11" borderId="52" xfId="0" applyFont="1" applyFill="1" applyBorder="1" applyAlignment="1" applyProtection="1">
      <alignment horizontal="right" vertical="center"/>
      <protection locked="0"/>
    </xf>
    <xf numFmtId="0" fontId="30" fillId="11" borderId="33" xfId="0" applyFont="1" applyFill="1" applyBorder="1" applyAlignment="1" applyProtection="1">
      <alignment horizontal="right" vertical="center"/>
      <protection locked="0"/>
    </xf>
    <xf numFmtId="0" fontId="1" fillId="0" borderId="0" xfId="0" applyFont="1" applyAlignment="1">
      <alignment horizontal="center" vertical="center"/>
    </xf>
    <xf numFmtId="0" fontId="0" fillId="0" borderId="0" xfId="0" applyAlignment="1">
      <alignment horizontal="center" vertical="center"/>
    </xf>
    <xf numFmtId="0" fontId="2" fillId="0" borderId="9" xfId="0" applyFont="1" applyBorder="1" applyAlignment="1">
      <alignment horizontal="center" vertical="center"/>
    </xf>
    <xf numFmtId="0" fontId="2" fillId="0" borderId="20" xfId="0" applyFont="1" applyBorder="1" applyAlignment="1">
      <alignment horizontal="center" vertical="center"/>
    </xf>
    <xf numFmtId="0" fontId="0" fillId="0" borderId="9" xfId="0" applyBorder="1" applyAlignment="1">
      <alignment horizontal="center" vertical="center"/>
    </xf>
    <xf numFmtId="0" fontId="0" fillId="0" borderId="20" xfId="0" applyBorder="1" applyAlignment="1">
      <alignment horizontal="center" vertical="center"/>
    </xf>
    <xf numFmtId="0" fontId="16" fillId="0" borderId="9" xfId="0" applyFont="1" applyBorder="1" applyAlignment="1">
      <alignment horizontal="center" vertical="center"/>
    </xf>
    <xf numFmtId="0" fontId="16" fillId="0" borderId="20" xfId="0" applyFont="1" applyBorder="1" applyAlignment="1">
      <alignment horizontal="center" vertical="center"/>
    </xf>
    <xf numFmtId="0" fontId="18" fillId="0" borderId="9" xfId="0" applyFont="1" applyBorder="1" applyAlignment="1">
      <alignment horizontal="center" vertical="center"/>
    </xf>
    <xf numFmtId="0" fontId="18" fillId="0" borderId="20" xfId="0" applyFont="1" applyBorder="1" applyAlignment="1">
      <alignment horizontal="center" vertical="center"/>
    </xf>
    <xf numFmtId="0" fontId="17" fillId="0" borderId="0" xfId="0" applyFont="1" applyAlignment="1" applyProtection="1">
      <alignment horizontal="left" vertical="center" wrapText="1"/>
      <protection locked="0"/>
    </xf>
    <xf numFmtId="0" fontId="13" fillId="0" borderId="0" xfId="0" applyFont="1" applyAlignment="1" applyProtection="1">
      <alignment horizontal="center" vertical="center" wrapText="1"/>
      <protection locked="0"/>
    </xf>
    <xf numFmtId="0" fontId="5" fillId="0" borderId="0" xfId="0" applyFont="1" applyAlignment="1" applyProtection="1">
      <alignment horizontal="center" vertical="center"/>
      <protection locked="0"/>
    </xf>
    <xf numFmtId="0" fontId="14" fillId="0" borderId="35" xfId="0" applyFont="1" applyBorder="1" applyAlignment="1" applyProtection="1">
      <alignment vertical="center" wrapText="1"/>
      <protection locked="0"/>
    </xf>
    <xf numFmtId="0" fontId="14" fillId="0" borderId="0" xfId="0" applyFont="1" applyAlignment="1" applyProtection="1">
      <alignment vertical="center" wrapText="1"/>
      <protection locked="0"/>
    </xf>
    <xf numFmtId="0" fontId="14" fillId="0" borderId="0" xfId="0" applyFont="1" applyAlignment="1" applyProtection="1">
      <alignment horizontal="center" vertical="center" wrapText="1"/>
      <protection locked="0"/>
    </xf>
    <xf numFmtId="0" fontId="1" fillId="0" borderId="4" xfId="0" applyFont="1" applyBorder="1" applyAlignment="1" applyProtection="1">
      <alignment horizontal="left"/>
      <protection locked="0"/>
    </xf>
    <xf numFmtId="0" fontId="1" fillId="0" borderId="0" xfId="0" applyFont="1" applyAlignment="1" applyProtection="1">
      <alignment horizontal="left"/>
      <protection locked="0"/>
    </xf>
    <xf numFmtId="0" fontId="1" fillId="0" borderId="5" xfId="0" applyFont="1" applyBorder="1" applyAlignment="1" applyProtection="1">
      <alignment horizontal="left"/>
      <protection locked="0"/>
    </xf>
    <xf numFmtId="0" fontId="1" fillId="0" borderId="11" xfId="0" applyFont="1" applyBorder="1" applyAlignment="1" applyProtection="1">
      <alignment horizontal="left" vertical="center" wrapText="1"/>
      <protection locked="0"/>
    </xf>
    <xf numFmtId="0" fontId="1" fillId="0" borderId="73" xfId="0" applyFont="1" applyBorder="1" applyAlignment="1" applyProtection="1">
      <alignment horizontal="left" vertical="center" wrapText="1"/>
      <protection locked="0"/>
    </xf>
    <xf numFmtId="0" fontId="1" fillId="0" borderId="74" xfId="0"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0" fontId="1" fillId="0" borderId="5" xfId="0" applyFont="1" applyBorder="1" applyAlignment="1" applyProtection="1">
      <alignment horizontal="left" vertical="center" wrapText="1"/>
      <protection locked="0"/>
    </xf>
    <xf numFmtId="0" fontId="1" fillId="0" borderId="0" xfId="0" applyFont="1" applyAlignment="1" applyProtection="1">
      <alignment horizontal="left" vertical="center" wrapText="1" shrinkToFit="1"/>
      <protection locked="0"/>
    </xf>
    <xf numFmtId="0" fontId="20" fillId="0" borderId="0" xfId="0" applyFont="1" applyAlignment="1">
      <alignment horizontal="center" vertical="center"/>
    </xf>
    <xf numFmtId="0" fontId="20" fillId="0" borderId="5" xfId="0" applyFont="1" applyBorder="1" applyAlignment="1">
      <alignment horizontal="center" vertical="center"/>
    </xf>
    <xf numFmtId="0" fontId="2" fillId="0" borderId="0" xfId="0" applyFont="1" applyAlignment="1" applyProtection="1">
      <alignment horizontal="center"/>
      <protection locked="0"/>
    </xf>
    <xf numFmtId="0" fontId="0" fillId="0" borderId="0" xfId="0" applyAlignment="1" applyProtection="1">
      <alignment horizontal="left" vertical="center" wrapText="1" shrinkToFit="1"/>
      <protection locked="0"/>
    </xf>
    <xf numFmtId="0" fontId="27" fillId="0" borderId="57" xfId="0" applyFont="1" applyBorder="1" applyAlignment="1" applyProtection="1">
      <alignment horizontal="center" wrapText="1"/>
      <protection hidden="1"/>
    </xf>
    <xf numFmtId="0" fontId="27" fillId="0" borderId="4" xfId="0" applyFont="1" applyBorder="1" applyAlignment="1" applyProtection="1">
      <alignment horizontal="center" wrapText="1"/>
      <protection hidden="1"/>
    </xf>
    <xf numFmtId="0" fontId="28" fillId="0" borderId="4" xfId="0" applyFont="1" applyBorder="1" applyAlignment="1" applyProtection="1">
      <alignment horizontal="left" vertical="center"/>
      <protection locked="0"/>
    </xf>
    <xf numFmtId="0" fontId="28" fillId="0" borderId="0" xfId="0" applyFont="1" applyAlignment="1" applyProtection="1">
      <alignment horizontal="left" vertical="center"/>
      <protection locked="0"/>
    </xf>
    <xf numFmtId="0" fontId="6" fillId="0" borderId="0" xfId="0" applyFont="1" applyAlignment="1" applyProtection="1">
      <alignment horizontal="center"/>
      <protection locked="0"/>
    </xf>
    <xf numFmtId="0" fontId="33" fillId="0" borderId="0" xfId="0" applyFont="1" applyAlignment="1">
      <alignment horizontal="center" vertical="center"/>
    </xf>
    <xf numFmtId="0" fontId="34" fillId="0" borderId="0" xfId="0" applyFont="1" applyAlignment="1">
      <alignment horizontal="center" vertical="center"/>
    </xf>
    <xf numFmtId="0" fontId="22" fillId="0" borderId="0" xfId="0" applyFont="1" applyAlignment="1" applyProtection="1">
      <alignment horizontal="center"/>
      <protection locked="0"/>
    </xf>
    <xf numFmtId="0" fontId="2" fillId="0" borderId="2" xfId="0" applyFont="1" applyBorder="1" applyAlignment="1" applyProtection="1">
      <alignment horizontal="left"/>
      <protection locked="0"/>
    </xf>
    <xf numFmtId="0" fontId="2" fillId="0" borderId="3" xfId="0" applyFont="1" applyBorder="1" applyAlignment="1" applyProtection="1">
      <alignment horizontal="left"/>
      <protection locked="0"/>
    </xf>
    <xf numFmtId="166" fontId="0" fillId="0" borderId="0" xfId="0" applyNumberFormat="1" applyAlignment="1">
      <alignment horizontal="left"/>
    </xf>
    <xf numFmtId="166" fontId="0" fillId="0" borderId="5" xfId="0" applyNumberFormat="1" applyBorder="1" applyAlignment="1">
      <alignment horizontal="left"/>
    </xf>
    <xf numFmtId="0" fontId="0" fillId="0" borderId="0" xfId="0" applyAlignment="1" applyProtection="1">
      <alignment horizontal="left"/>
      <protection locked="0"/>
    </xf>
    <xf numFmtId="0" fontId="0" fillId="0" borderId="5" xfId="0" applyBorder="1" applyAlignment="1" applyProtection="1">
      <alignment horizontal="left"/>
      <protection locked="0"/>
    </xf>
    <xf numFmtId="0" fontId="0" fillId="0" borderId="7" xfId="0" applyBorder="1" applyAlignment="1" applyProtection="1">
      <alignment horizontal="left"/>
      <protection locked="0"/>
    </xf>
    <xf numFmtId="0" fontId="0" fillId="0" borderId="8" xfId="0" applyBorder="1" applyAlignment="1" applyProtection="1">
      <alignment horizontal="left"/>
      <protection locked="0"/>
    </xf>
    <xf numFmtId="14" fontId="22" fillId="0" borderId="0" xfId="0" applyNumberFormat="1" applyFont="1" applyAlignment="1" applyProtection="1">
      <alignment horizontal="center"/>
      <protection locked="0"/>
    </xf>
    <xf numFmtId="14" fontId="37" fillId="0" borderId="0" xfId="0" applyNumberFormat="1" applyFont="1" applyAlignment="1" applyProtection="1">
      <alignment horizontal="center" vertical="center"/>
      <protection locked="0"/>
    </xf>
    <xf numFmtId="166" fontId="0" fillId="0" borderId="0" xfId="0" applyNumberFormat="1" applyAlignment="1">
      <alignment horizontal="left" wrapText="1"/>
    </xf>
    <xf numFmtId="166" fontId="0" fillId="0" borderId="5" xfId="0" applyNumberFormat="1" applyBorder="1" applyAlignment="1">
      <alignment horizontal="left" wrapText="1"/>
    </xf>
  </cellXfs>
  <cellStyles count="1">
    <cellStyle name="Normal" xfId="0" builtinId="0"/>
  </cellStyles>
  <dxfs count="77">
    <dxf>
      <font>
        <color theme="0"/>
      </font>
      <fill>
        <patternFill patternType="none">
          <bgColor auto="1"/>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ont>
        <color theme="1"/>
      </font>
      <fill>
        <patternFill>
          <bgColor rgb="FFD1CC00"/>
        </patternFill>
      </fill>
    </dxf>
    <dxf>
      <font>
        <color theme="0"/>
      </font>
      <fill>
        <patternFill patternType="none">
          <bgColor auto="1"/>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ont>
        <color theme="1"/>
      </font>
      <fill>
        <patternFill>
          <bgColor rgb="FFD1CC00"/>
        </patternFill>
      </fill>
    </dxf>
    <dxf>
      <font>
        <color theme="0"/>
      </font>
      <fill>
        <patternFill patternType="none">
          <bgColor auto="1"/>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ont>
        <color theme="0"/>
      </font>
      <fill>
        <patternFill patternType="none">
          <bgColor auto="1"/>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fill>
        <patternFill>
          <bgColor rgb="FFFF0000"/>
        </patternFill>
      </fill>
    </dxf>
    <dxf>
      <font>
        <b/>
        <i/>
        <color rgb="FFFF0000"/>
      </font>
    </dxf>
    <dxf>
      <fill>
        <patternFill patternType="none">
          <bgColor auto="1"/>
        </patternFill>
      </fill>
    </dxf>
    <dxf>
      <font>
        <b/>
        <i/>
        <color rgb="FFFF0000"/>
      </font>
    </dxf>
    <dxf>
      <font>
        <color auto="1"/>
      </font>
      <fill>
        <patternFill patternType="solid">
          <bgColor rgb="FFFF0000"/>
        </patternFill>
      </fill>
    </dxf>
    <dxf>
      <font>
        <color auto="1"/>
      </font>
      <fill>
        <patternFill patternType="solid">
          <bgColor rgb="FF92D050"/>
        </patternFill>
      </fill>
    </dxf>
    <dxf>
      <font>
        <color theme="0"/>
      </font>
      <fill>
        <patternFill patternType="none">
          <bgColor auto="1"/>
        </patternFill>
      </fill>
    </dxf>
    <dxf>
      <font>
        <color auto="1"/>
      </font>
      <fill>
        <patternFill patternType="solid">
          <bgColor rgb="FFFF0000"/>
        </patternFill>
      </fill>
    </dxf>
    <dxf>
      <font>
        <color auto="1"/>
      </font>
      <fill>
        <patternFill patternType="solid">
          <bgColor rgb="FF92D050"/>
        </patternFill>
      </fill>
    </dxf>
    <dxf>
      <font>
        <color theme="0"/>
      </font>
      <fill>
        <patternFill patternType="none">
          <bgColor auto="1"/>
        </patternFill>
      </fill>
    </dxf>
    <dxf>
      <font>
        <color theme="0"/>
      </font>
    </dxf>
    <dxf>
      <font>
        <color theme="0"/>
      </font>
      <fill>
        <patternFill patternType="none">
          <bgColor auto="1"/>
        </patternFill>
      </fill>
      <border>
        <left/>
        <right/>
        <top/>
        <bottom/>
        <vertical/>
        <horizontal/>
      </border>
    </dxf>
    <dxf>
      <font>
        <color theme="0"/>
      </font>
      <fill>
        <patternFill>
          <bgColor theme="0"/>
        </patternFill>
      </fill>
    </dxf>
    <dxf>
      <font>
        <b/>
        <i/>
        <color rgb="FFFF0000"/>
      </font>
    </dxf>
    <dxf>
      <fill>
        <patternFill patternType="none">
          <bgColor auto="1"/>
        </patternFill>
      </fill>
    </dxf>
  </dxfs>
  <tableStyles count="0" defaultTableStyle="TableStyleMedium9" defaultPivotStyle="PivotStyleLight16"/>
  <colors>
    <mruColors>
      <color rgb="FFB9DCFF"/>
      <color rgb="FFFFFF99"/>
      <color rgb="FFFFFF66"/>
      <color rgb="FF5B8FDB"/>
      <color rgb="FF5E86C6"/>
      <color rgb="FFFF9999"/>
      <color rgb="FFFF7C80"/>
      <color rgb="FFFF5050"/>
      <color rgb="FFD5D000"/>
      <color rgb="FFBCB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2" lockText="1" noThreeD="1"/>
</file>

<file path=xl/ctrlProps/ctrlProp2.xml><?xml version="1.0" encoding="utf-8"?>
<formControlPr xmlns="http://schemas.microsoft.com/office/spreadsheetml/2009/9/main" objectType="CheckBox" fmlaLink="Constants!$C$58" lockText="1" noThreeD="1"/>
</file>

<file path=xl/ctrlProps/ctrlProp3.xml><?xml version="1.0" encoding="utf-8"?>
<formControlPr xmlns="http://schemas.microsoft.com/office/spreadsheetml/2009/9/main" objectType="CheckBox" fmlaLink="Constants!$C$59" lockText="1" noThreeD="1"/>
</file>

<file path=xl/ctrlProps/ctrlProp4.xml><?xml version="1.0" encoding="utf-8"?>
<formControlPr xmlns="http://schemas.microsoft.com/office/spreadsheetml/2009/9/main" objectType="CheckBox" fmlaLink="Constants!$C$61" lockText="1" noThreeD="1"/>
</file>

<file path=xl/ctrlProps/ctrlProp5.xml><?xml version="1.0" encoding="utf-8"?>
<formControlPr xmlns="http://schemas.microsoft.com/office/spreadsheetml/2009/9/main" objectType="CheckBox" fmlaLink="Constants!$M$2" lockText="1" noThreeD="1"/>
</file>

<file path=xl/ctrlProps/ctrlProp6.xml><?xml version="1.0" encoding="utf-8"?>
<formControlPr xmlns="http://schemas.microsoft.com/office/spreadsheetml/2009/9/main" objectType="CheckBox" checked="Checked" fmlaLink="Constants!$M$4" lockText="1" noThreeD="1"/>
</file>

<file path=xl/ctrlProps/ctrlProp7.xml><?xml version="1.0" encoding="utf-8"?>
<formControlPr xmlns="http://schemas.microsoft.com/office/spreadsheetml/2009/9/main" objectType="CheckBox" fmlaLink="Constants!$R$2" lockText="1" noThreeD="1"/>
</file>

<file path=xl/ctrlProps/ctrlProp8.xml><?xml version="1.0" encoding="utf-8"?>
<formControlPr xmlns="http://schemas.microsoft.com/office/spreadsheetml/2009/9/main" objectType="Drop" dropStyle="combo" dx="16" fmlaLink="$1:$1048576" fmlaRange="$1:$1048576" noThreeD="1" sel="0"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7.jpeg"/><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5.emf"/></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2.jpeg"/><Relationship Id="rId4" Type="http://schemas.openxmlformats.org/officeDocument/2006/relationships/image" Target="../media/image13.emf"/></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2.jpeg"/><Relationship Id="rId5" Type="http://schemas.openxmlformats.org/officeDocument/2006/relationships/image" Target="../media/image16.jpeg"/><Relationship Id="rId4"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1019175</xdr:colOff>
          <xdr:row>21</xdr:row>
          <xdr:rowOff>76200</xdr:rowOff>
        </xdr:from>
        <xdr:to>
          <xdr:col>2</xdr:col>
          <xdr:colOff>1238250</xdr:colOff>
          <xdr:row>21</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1019175</xdr:colOff>
          <xdr:row>22</xdr:row>
          <xdr:rowOff>76200</xdr:rowOff>
        </xdr:from>
        <xdr:to>
          <xdr:col>2</xdr:col>
          <xdr:colOff>1238250</xdr:colOff>
          <xdr:row>22</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1009650</xdr:colOff>
          <xdr:row>23</xdr:row>
          <xdr:rowOff>95250</xdr:rowOff>
        </xdr:from>
        <xdr:to>
          <xdr:col>2</xdr:col>
          <xdr:colOff>1219200</xdr:colOff>
          <xdr:row>23</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1009650</xdr:colOff>
          <xdr:row>28</xdr:row>
          <xdr:rowOff>19050</xdr:rowOff>
        </xdr:from>
        <xdr:to>
          <xdr:col>2</xdr:col>
          <xdr:colOff>1219200</xdr:colOff>
          <xdr:row>29</xdr:row>
          <xdr:rowOff>19050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27</xdr:row>
          <xdr:rowOff>57150</xdr:rowOff>
        </xdr:from>
        <xdr:to>
          <xdr:col>2</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1276350</xdr:colOff>
          <xdr:row>27</xdr:row>
          <xdr:rowOff>57150</xdr:rowOff>
        </xdr:from>
        <xdr:to>
          <xdr:col>2</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1009650</xdr:colOff>
          <xdr:row>24</xdr:row>
          <xdr:rowOff>57150</xdr:rowOff>
        </xdr:from>
        <xdr:to>
          <xdr:col>2</xdr:col>
          <xdr:colOff>1962150</xdr:colOff>
          <xdr:row>24</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0</xdr:row>
          <xdr:rowOff>295275</xdr:rowOff>
        </xdr:from>
        <xdr:to>
          <xdr:col>1</xdr:col>
          <xdr:colOff>295275</xdr:colOff>
          <xdr:row>1</xdr:row>
          <xdr:rowOff>95250</xdr:rowOff>
        </xdr:to>
        <xdr:sp macro="" textlink="">
          <xdr:nvSpPr>
            <xdr:cNvPr id="1129" name="Drop Dow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85725</xdr:colOff>
      <xdr:row>0</xdr:row>
      <xdr:rowOff>209550</xdr:rowOff>
    </xdr:from>
    <xdr:to>
      <xdr:col>2</xdr:col>
      <xdr:colOff>592455</xdr:colOff>
      <xdr:row>3</xdr:row>
      <xdr:rowOff>116967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209550"/>
          <a:ext cx="2731770" cy="6598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101440</xdr:colOff>
      <xdr:row>78</xdr:row>
      <xdr:rowOff>27623</xdr:rowOff>
    </xdr:from>
    <xdr:to>
      <xdr:col>1</xdr:col>
      <xdr:colOff>1655880</xdr:colOff>
      <xdr:row>78</xdr:row>
      <xdr:rowOff>1085850</xdr:rowOff>
    </xdr:to>
    <xdr:pic>
      <xdr:nvPicPr>
        <xdr:cNvPr id="5" name="Picture 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440" y="19053811"/>
          <a:ext cx="4300974" cy="1048702"/>
        </a:xfrm>
        <a:prstGeom prst="rect">
          <a:avLst/>
        </a:prstGeom>
      </xdr:spPr>
    </xdr:pic>
    <xdr:clientData/>
  </xdr:twoCellAnchor>
  <xdr:twoCellAnchor editAs="oneCell">
    <xdr:from>
      <xdr:col>0</xdr:col>
      <xdr:colOff>150969</xdr:colOff>
      <xdr:row>79</xdr:row>
      <xdr:rowOff>60961</xdr:rowOff>
    </xdr:from>
    <xdr:to>
      <xdr:col>1</xdr:col>
      <xdr:colOff>1692972</xdr:colOff>
      <xdr:row>79</xdr:row>
      <xdr:rowOff>897329</xdr:rowOff>
    </xdr:to>
    <xdr:pic>
      <xdr:nvPicPr>
        <xdr:cNvPr id="7" name="Picture 2">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0969" y="20194430"/>
          <a:ext cx="4296157" cy="832558"/>
        </a:xfrm>
        <a:prstGeom prst="rect">
          <a:avLst/>
        </a:prstGeom>
      </xdr:spPr>
    </xdr:pic>
    <xdr:clientData/>
  </xdr:twoCellAnchor>
  <xdr:twoCellAnchor editAs="oneCell">
    <xdr:from>
      <xdr:col>2</xdr:col>
      <xdr:colOff>107156</xdr:colOff>
      <xdr:row>78</xdr:row>
      <xdr:rowOff>59531</xdr:rowOff>
    </xdr:from>
    <xdr:to>
      <xdr:col>4</xdr:col>
      <xdr:colOff>1429186</xdr:colOff>
      <xdr:row>79</xdr:row>
      <xdr:rowOff>952</xdr:rowOff>
    </xdr:to>
    <xdr:pic>
      <xdr:nvPicPr>
        <xdr:cNvPr id="8" name="Picture 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95812" y="17918906"/>
          <a:ext cx="4300974" cy="1048702"/>
        </a:xfrm>
        <a:prstGeom prst="rect">
          <a:avLst/>
        </a:prstGeom>
      </xdr:spPr>
    </xdr:pic>
    <xdr:clientData/>
  </xdr:twoCellAnchor>
  <xdr:twoCellAnchor editAs="oneCell">
    <xdr:from>
      <xdr:col>2</xdr:col>
      <xdr:colOff>142875</xdr:colOff>
      <xdr:row>79</xdr:row>
      <xdr:rowOff>59531</xdr:rowOff>
    </xdr:from>
    <xdr:to>
      <xdr:col>4</xdr:col>
      <xdr:colOff>1450563</xdr:colOff>
      <xdr:row>79</xdr:row>
      <xdr:rowOff>895899</xdr:rowOff>
    </xdr:to>
    <xdr:pic>
      <xdr:nvPicPr>
        <xdr:cNvPr id="9" name="Picture 2">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631531" y="19026187"/>
          <a:ext cx="4296157" cy="832558"/>
        </a:xfrm>
        <a:prstGeom prst="rect">
          <a:avLst/>
        </a:prstGeom>
      </xdr:spPr>
    </xdr:pic>
    <xdr:clientData/>
  </xdr:twoCellAnchor>
  <xdr:twoCellAnchor editAs="oneCell">
    <xdr:from>
      <xdr:col>5</xdr:col>
      <xdr:colOff>83343</xdr:colOff>
      <xdr:row>78</xdr:row>
      <xdr:rowOff>47625</xdr:rowOff>
    </xdr:from>
    <xdr:to>
      <xdr:col>7</xdr:col>
      <xdr:colOff>1582539</xdr:colOff>
      <xdr:row>78</xdr:row>
      <xdr:rowOff>1088707</xdr:rowOff>
    </xdr:to>
    <xdr:pic>
      <xdr:nvPicPr>
        <xdr:cNvPr id="10" name="Picture 1">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08281" y="17907000"/>
          <a:ext cx="4300974" cy="1048702"/>
        </a:xfrm>
        <a:prstGeom prst="rect">
          <a:avLst/>
        </a:prstGeom>
      </xdr:spPr>
    </xdr:pic>
    <xdr:clientData/>
  </xdr:twoCellAnchor>
  <xdr:twoCellAnchor editAs="oneCell">
    <xdr:from>
      <xdr:col>8</xdr:col>
      <xdr:colOff>130969</xdr:colOff>
      <xdr:row>78</xdr:row>
      <xdr:rowOff>59532</xdr:rowOff>
    </xdr:from>
    <xdr:to>
      <xdr:col>10</xdr:col>
      <xdr:colOff>1506815</xdr:colOff>
      <xdr:row>79</xdr:row>
      <xdr:rowOff>953</xdr:rowOff>
    </xdr:to>
    <xdr:pic>
      <xdr:nvPicPr>
        <xdr:cNvPr id="11" name="Picture 1">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573125" y="17918907"/>
          <a:ext cx="4300974" cy="1048702"/>
        </a:xfrm>
        <a:prstGeom prst="rect">
          <a:avLst/>
        </a:prstGeom>
      </xdr:spPr>
    </xdr:pic>
    <xdr:clientData/>
  </xdr:twoCellAnchor>
  <xdr:twoCellAnchor editAs="oneCell">
    <xdr:from>
      <xdr:col>5</xdr:col>
      <xdr:colOff>35718</xdr:colOff>
      <xdr:row>79</xdr:row>
      <xdr:rowOff>95250</xdr:rowOff>
    </xdr:from>
    <xdr:to>
      <xdr:col>7</xdr:col>
      <xdr:colOff>1543432</xdr:colOff>
      <xdr:row>79</xdr:row>
      <xdr:rowOff>931618</xdr:rowOff>
    </xdr:to>
    <xdr:pic>
      <xdr:nvPicPr>
        <xdr:cNvPr id="12" name="Picture 2">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60656" y="19061906"/>
          <a:ext cx="4296157" cy="832558"/>
        </a:xfrm>
        <a:prstGeom prst="rect">
          <a:avLst/>
        </a:prstGeom>
      </xdr:spPr>
    </xdr:pic>
    <xdr:clientData/>
  </xdr:twoCellAnchor>
  <xdr:twoCellAnchor editAs="oneCell">
    <xdr:from>
      <xdr:col>8</xdr:col>
      <xdr:colOff>71437</xdr:colOff>
      <xdr:row>79</xdr:row>
      <xdr:rowOff>47625</xdr:rowOff>
    </xdr:from>
    <xdr:to>
      <xdr:col>10</xdr:col>
      <xdr:colOff>1431036</xdr:colOff>
      <xdr:row>79</xdr:row>
      <xdr:rowOff>885898</xdr:rowOff>
    </xdr:to>
    <xdr:pic>
      <xdr:nvPicPr>
        <xdr:cNvPr id="13" name="Picture 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513593" y="19014281"/>
          <a:ext cx="4296157" cy="8325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843989</xdr:colOff>
      <xdr:row>42</xdr:row>
      <xdr:rowOff>66676</xdr:rowOff>
    </xdr:from>
    <xdr:to>
      <xdr:col>5</xdr:col>
      <xdr:colOff>571078</xdr:colOff>
      <xdr:row>43</xdr:row>
      <xdr:rowOff>123825</xdr:rowOff>
    </xdr:to>
    <xdr:sp macro="" textlink="">
      <xdr:nvSpPr>
        <xdr:cNvPr id="92" name="TextBox 91">
          <a:extLst>
            <a:ext uri="{FF2B5EF4-FFF2-40B4-BE49-F238E27FC236}">
              <a16:creationId xmlns:a16="http://schemas.microsoft.com/office/drawing/2014/main" id="{00000000-0008-0000-0300-00005C000000}"/>
            </a:ext>
          </a:extLst>
        </xdr:cNvPr>
        <xdr:cNvSpPr txBox="1"/>
      </xdr:nvSpPr>
      <xdr:spPr>
        <a:xfrm>
          <a:off x="4501589" y="8982076"/>
          <a:ext cx="612914" cy="2857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4</xdr:col>
      <xdr:colOff>844402</xdr:colOff>
      <xdr:row>41</xdr:row>
      <xdr:rowOff>34786</xdr:rowOff>
    </xdr:from>
    <xdr:to>
      <xdr:col>5</xdr:col>
      <xdr:colOff>480398</xdr:colOff>
      <xdr:row>42</xdr:row>
      <xdr:rowOff>76199</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4502002" y="8721586"/>
          <a:ext cx="521821"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4</xdr:col>
      <xdr:colOff>831989</xdr:colOff>
      <xdr:row>40</xdr:row>
      <xdr:rowOff>38105</xdr:rowOff>
    </xdr:from>
    <xdr:to>
      <xdr:col>5</xdr:col>
      <xdr:colOff>409990</xdr:colOff>
      <xdr:row>41</xdr:row>
      <xdr:rowOff>76204</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4489589" y="9505955"/>
          <a:ext cx="463826" cy="2666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2</xdr:col>
      <xdr:colOff>677508</xdr:colOff>
      <xdr:row>41</xdr:row>
      <xdr:rowOff>37265</xdr:rowOff>
    </xdr:from>
    <xdr:to>
      <xdr:col>3</xdr:col>
      <xdr:colOff>666750</xdr:colOff>
      <xdr:row>42</xdr:row>
      <xdr:rowOff>78678</xdr:rowOff>
    </xdr:to>
    <xdr:sp macro="" textlink="">
      <xdr:nvSpPr>
        <xdr:cNvPr id="86" name="TextBox 85">
          <a:extLst>
            <a:ext uri="{FF2B5EF4-FFF2-40B4-BE49-F238E27FC236}">
              <a16:creationId xmlns:a16="http://schemas.microsoft.com/office/drawing/2014/main" id="{00000000-0008-0000-0300-000056000000}"/>
            </a:ext>
          </a:extLst>
        </xdr:cNvPr>
        <xdr:cNvSpPr txBox="1"/>
      </xdr:nvSpPr>
      <xdr:spPr>
        <a:xfrm>
          <a:off x="2468208" y="8724065"/>
          <a:ext cx="970317"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3</xdr:col>
      <xdr:colOff>184292</xdr:colOff>
      <xdr:row>40</xdr:row>
      <xdr:rowOff>58397</xdr:rowOff>
    </xdr:from>
    <xdr:to>
      <xdr:col>3</xdr:col>
      <xdr:colOff>648118</xdr:colOff>
      <xdr:row>41</xdr:row>
      <xdr:rowOff>99809</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2956067" y="8516597"/>
          <a:ext cx="463826" cy="270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2</xdr:col>
      <xdr:colOff>957049</xdr:colOff>
      <xdr:row>42</xdr:row>
      <xdr:rowOff>82411</xdr:rowOff>
    </xdr:from>
    <xdr:to>
      <xdr:col>3</xdr:col>
      <xdr:colOff>588888</xdr:colOff>
      <xdr:row>43</xdr:row>
      <xdr:rowOff>114301</xdr:rowOff>
    </xdr:to>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2747749" y="8997811"/>
          <a:ext cx="612914" cy="2604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23</xdr:row>
      <xdr:rowOff>9525</xdr:rowOff>
    </xdr:from>
    <xdr:to>
      <xdr:col>2</xdr:col>
      <xdr:colOff>704850</xdr:colOff>
      <xdr:row>32</xdr:row>
      <xdr:rowOff>123825</xdr:rowOff>
    </xdr:to>
    <xdr:sp macro="" textlink="">
      <xdr:nvSpPr>
        <xdr:cNvPr id="10" name="Oval 9">
          <a:extLst>
            <a:ext uri="{FF2B5EF4-FFF2-40B4-BE49-F238E27FC236}">
              <a16:creationId xmlns:a16="http://schemas.microsoft.com/office/drawing/2014/main" id="{00000000-0008-0000-03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23</xdr:row>
      <xdr:rowOff>5912</xdr:rowOff>
    </xdr:from>
    <xdr:to>
      <xdr:col>6</xdr:col>
      <xdr:colOff>895350</xdr:colOff>
      <xdr:row>32</xdr:row>
      <xdr:rowOff>120212</xdr:rowOff>
    </xdr:to>
    <xdr:sp macro="" textlink="">
      <xdr:nvSpPr>
        <xdr:cNvPr id="2" name="Oval 1">
          <a:extLst>
            <a:ext uri="{FF2B5EF4-FFF2-40B4-BE49-F238E27FC236}">
              <a16:creationId xmlns:a16="http://schemas.microsoft.com/office/drawing/2014/main" id="{00000000-0008-0000-0300-000002000000}"/>
            </a:ext>
          </a:extLst>
        </xdr:cNvPr>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23</xdr:row>
      <xdr:rowOff>9525</xdr:rowOff>
    </xdr:from>
    <xdr:to>
      <xdr:col>5</xdr:col>
      <xdr:colOff>238125</xdr:colOff>
      <xdr:row>32</xdr:row>
      <xdr:rowOff>123825</xdr:rowOff>
    </xdr:to>
    <xdr:sp macro="" textlink="">
      <xdr:nvSpPr>
        <xdr:cNvPr id="9" name="Oval 8">
          <a:extLst>
            <a:ext uri="{FF2B5EF4-FFF2-40B4-BE49-F238E27FC236}">
              <a16:creationId xmlns:a16="http://schemas.microsoft.com/office/drawing/2014/main" id="{00000000-0008-0000-03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23</xdr:row>
      <xdr:rowOff>124810</xdr:rowOff>
    </xdr:from>
    <xdr:to>
      <xdr:col>1</xdr:col>
      <xdr:colOff>1707931</xdr:colOff>
      <xdr:row>25</xdr:row>
      <xdr:rowOff>210206</xdr:rowOff>
    </xdr:to>
    <xdr:sp macro="" textlink="" fLocksText="0">
      <xdr:nvSpPr>
        <xdr:cNvPr id="5" name="Trapezoid 4">
          <a:extLst>
            <a:ext uri="{FF2B5EF4-FFF2-40B4-BE49-F238E27FC236}">
              <a16:creationId xmlns:a16="http://schemas.microsoft.com/office/drawing/2014/main" id="{00000000-0008-0000-03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29</xdr:row>
      <xdr:rowOff>151086</xdr:rowOff>
    </xdr:from>
    <xdr:to>
      <xdr:col>1</xdr:col>
      <xdr:colOff>1707931</xdr:colOff>
      <xdr:row>32</xdr:row>
      <xdr:rowOff>6569</xdr:rowOff>
    </xdr:to>
    <xdr:sp macro="" textlink="" fLocksText="0">
      <xdr:nvSpPr>
        <xdr:cNvPr id="18" name="Trapezoid 17">
          <a:extLst>
            <a:ext uri="{FF2B5EF4-FFF2-40B4-BE49-F238E27FC236}">
              <a16:creationId xmlns:a16="http://schemas.microsoft.com/office/drawing/2014/main" id="{00000000-0008-0000-0300-000012000000}"/>
            </a:ext>
          </a:extLst>
        </xdr:cNvPr>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26</xdr:row>
      <xdr:rowOff>36131</xdr:rowOff>
    </xdr:from>
    <xdr:to>
      <xdr:col>2</xdr:col>
      <xdr:colOff>607630</xdr:colOff>
      <xdr:row>29</xdr:row>
      <xdr:rowOff>95251</xdr:rowOff>
    </xdr:to>
    <xdr:sp macro="" textlink="" fLocksText="0">
      <xdr:nvSpPr>
        <xdr:cNvPr id="19" name="Trapezoid 18">
          <a:extLst>
            <a:ext uri="{FF2B5EF4-FFF2-40B4-BE49-F238E27FC236}">
              <a16:creationId xmlns:a16="http://schemas.microsoft.com/office/drawing/2014/main" id="{00000000-0008-0000-03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26</xdr:row>
      <xdr:rowOff>36131</xdr:rowOff>
    </xdr:from>
    <xdr:to>
      <xdr:col>1</xdr:col>
      <xdr:colOff>922940</xdr:colOff>
      <xdr:row>29</xdr:row>
      <xdr:rowOff>95251</xdr:rowOff>
    </xdr:to>
    <xdr:sp macro="" textlink="" fLocksText="0">
      <xdr:nvSpPr>
        <xdr:cNvPr id="20" name="Trapezoid 19">
          <a:extLst>
            <a:ext uri="{FF2B5EF4-FFF2-40B4-BE49-F238E27FC236}">
              <a16:creationId xmlns:a16="http://schemas.microsoft.com/office/drawing/2014/main" id="{00000000-0008-0000-03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28</xdr:row>
      <xdr:rowOff>183016</xdr:rowOff>
    </xdr:from>
    <xdr:to>
      <xdr:col>2</xdr:col>
      <xdr:colOff>504894</xdr:colOff>
      <xdr:row>31</xdr:row>
      <xdr:rowOff>38499</xdr:rowOff>
    </xdr:to>
    <xdr:sp macro="" textlink="" fLocksText="0">
      <xdr:nvSpPr>
        <xdr:cNvPr id="23" name="Trapezoid 22">
          <a:extLst>
            <a:ext uri="{FF2B5EF4-FFF2-40B4-BE49-F238E27FC236}">
              <a16:creationId xmlns:a16="http://schemas.microsoft.com/office/drawing/2014/main" id="{00000000-0008-0000-03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24</xdr:row>
      <xdr:rowOff>108650</xdr:rowOff>
    </xdr:from>
    <xdr:to>
      <xdr:col>1</xdr:col>
      <xdr:colOff>1231941</xdr:colOff>
      <xdr:row>26</xdr:row>
      <xdr:rowOff>194047</xdr:rowOff>
    </xdr:to>
    <xdr:sp macro="" textlink="" fLocksText="0">
      <xdr:nvSpPr>
        <xdr:cNvPr id="24" name="Trapezoid 23">
          <a:extLst>
            <a:ext uri="{FF2B5EF4-FFF2-40B4-BE49-F238E27FC236}">
              <a16:creationId xmlns:a16="http://schemas.microsoft.com/office/drawing/2014/main" id="{00000000-0008-0000-03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24</xdr:row>
      <xdr:rowOff>1577</xdr:rowOff>
    </xdr:from>
    <xdr:to>
      <xdr:col>2</xdr:col>
      <xdr:colOff>404388</xdr:colOff>
      <xdr:row>27</xdr:row>
      <xdr:rowOff>60698</xdr:rowOff>
    </xdr:to>
    <xdr:sp macro="" textlink="" fLocksText="0">
      <xdr:nvSpPr>
        <xdr:cNvPr id="26" name="Trapezoid 25">
          <a:extLst>
            <a:ext uri="{FF2B5EF4-FFF2-40B4-BE49-F238E27FC236}">
              <a16:creationId xmlns:a16="http://schemas.microsoft.com/office/drawing/2014/main" id="{00000000-0008-0000-03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28</xdr:row>
      <xdr:rowOff>75943</xdr:rowOff>
    </xdr:from>
    <xdr:to>
      <xdr:col>1</xdr:col>
      <xdr:colOff>1131435</xdr:colOff>
      <xdr:row>31</xdr:row>
      <xdr:rowOff>135064</xdr:rowOff>
    </xdr:to>
    <xdr:sp macro="" textlink="" fLocksText="0">
      <xdr:nvSpPr>
        <xdr:cNvPr id="27" name="Trapezoid 26">
          <a:extLst>
            <a:ext uri="{FF2B5EF4-FFF2-40B4-BE49-F238E27FC236}">
              <a16:creationId xmlns:a16="http://schemas.microsoft.com/office/drawing/2014/main" id="{00000000-0008-0000-03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23</xdr:row>
      <xdr:rowOff>124810</xdr:rowOff>
    </xdr:from>
    <xdr:to>
      <xdr:col>4</xdr:col>
      <xdr:colOff>400707</xdr:colOff>
      <xdr:row>25</xdr:row>
      <xdr:rowOff>210206</xdr:rowOff>
    </xdr:to>
    <xdr:sp macro="" textlink="" fLocksText="0">
      <xdr:nvSpPr>
        <xdr:cNvPr id="44" name="Trapezoid 43">
          <a:extLst>
            <a:ext uri="{FF2B5EF4-FFF2-40B4-BE49-F238E27FC236}">
              <a16:creationId xmlns:a16="http://schemas.microsoft.com/office/drawing/2014/main" id="{00000000-0008-0000-03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29</xdr:row>
      <xdr:rowOff>151086</xdr:rowOff>
    </xdr:from>
    <xdr:to>
      <xdr:col>4</xdr:col>
      <xdr:colOff>400707</xdr:colOff>
      <xdr:row>32</xdr:row>
      <xdr:rowOff>6569</xdr:rowOff>
    </xdr:to>
    <xdr:sp macro="" textlink="" fLocksText="0">
      <xdr:nvSpPr>
        <xdr:cNvPr id="45" name="Trapezoid 44">
          <a:extLst>
            <a:ext uri="{FF2B5EF4-FFF2-40B4-BE49-F238E27FC236}">
              <a16:creationId xmlns:a16="http://schemas.microsoft.com/office/drawing/2014/main" id="{00000000-0008-0000-03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476251</xdr:colOff>
      <xdr:row>26</xdr:row>
      <xdr:rowOff>36131</xdr:rowOff>
    </xdr:from>
    <xdr:to>
      <xdr:col>5</xdr:col>
      <xdr:colOff>134665</xdr:colOff>
      <xdr:row>29</xdr:row>
      <xdr:rowOff>95251</xdr:rowOff>
    </xdr:to>
    <xdr:sp macro="" textlink="" fLocksText="0">
      <xdr:nvSpPr>
        <xdr:cNvPr id="46" name="Trapezoid 45">
          <a:extLst>
            <a:ext uri="{FF2B5EF4-FFF2-40B4-BE49-F238E27FC236}">
              <a16:creationId xmlns:a16="http://schemas.microsoft.com/office/drawing/2014/main" id="{00000000-0008-0000-03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26</xdr:row>
      <xdr:rowOff>36131</xdr:rowOff>
    </xdr:from>
    <xdr:to>
      <xdr:col>3</xdr:col>
      <xdr:colOff>502527</xdr:colOff>
      <xdr:row>29</xdr:row>
      <xdr:rowOff>95251</xdr:rowOff>
    </xdr:to>
    <xdr:sp macro="" textlink="" fLocksText="0">
      <xdr:nvSpPr>
        <xdr:cNvPr id="47" name="Trapezoid 46">
          <a:extLst>
            <a:ext uri="{FF2B5EF4-FFF2-40B4-BE49-F238E27FC236}">
              <a16:creationId xmlns:a16="http://schemas.microsoft.com/office/drawing/2014/main" id="{00000000-0008-0000-03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28</xdr:row>
      <xdr:rowOff>183016</xdr:rowOff>
    </xdr:from>
    <xdr:to>
      <xdr:col>5</xdr:col>
      <xdr:colOff>31929</xdr:colOff>
      <xdr:row>31</xdr:row>
      <xdr:rowOff>38499</xdr:rowOff>
    </xdr:to>
    <xdr:sp macro="" textlink="" fLocksText="0">
      <xdr:nvSpPr>
        <xdr:cNvPr id="48" name="Trapezoid 47">
          <a:extLst>
            <a:ext uri="{FF2B5EF4-FFF2-40B4-BE49-F238E27FC236}">
              <a16:creationId xmlns:a16="http://schemas.microsoft.com/office/drawing/2014/main" id="{00000000-0008-0000-03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24</xdr:row>
      <xdr:rowOff>108650</xdr:rowOff>
    </xdr:from>
    <xdr:to>
      <xdr:col>3</xdr:col>
      <xdr:colOff>811528</xdr:colOff>
      <xdr:row>26</xdr:row>
      <xdr:rowOff>194047</xdr:rowOff>
    </xdr:to>
    <xdr:sp macro="" textlink="" fLocksText="0">
      <xdr:nvSpPr>
        <xdr:cNvPr id="49" name="Trapezoid 48">
          <a:extLst>
            <a:ext uri="{FF2B5EF4-FFF2-40B4-BE49-F238E27FC236}">
              <a16:creationId xmlns:a16="http://schemas.microsoft.com/office/drawing/2014/main" id="{00000000-0008-0000-03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273009</xdr:colOff>
      <xdr:row>24</xdr:row>
      <xdr:rowOff>1577</xdr:rowOff>
    </xdr:from>
    <xdr:to>
      <xdr:col>4</xdr:col>
      <xdr:colOff>818233</xdr:colOff>
      <xdr:row>27</xdr:row>
      <xdr:rowOff>60698</xdr:rowOff>
    </xdr:to>
    <xdr:sp macro="" textlink="" fLocksText="0">
      <xdr:nvSpPr>
        <xdr:cNvPr id="50" name="Trapezoid 49">
          <a:extLst>
            <a:ext uri="{FF2B5EF4-FFF2-40B4-BE49-F238E27FC236}">
              <a16:creationId xmlns:a16="http://schemas.microsoft.com/office/drawing/2014/main" id="{00000000-0008-0000-03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28</xdr:row>
      <xdr:rowOff>75943</xdr:rowOff>
    </xdr:from>
    <xdr:to>
      <xdr:col>3</xdr:col>
      <xdr:colOff>711022</xdr:colOff>
      <xdr:row>31</xdr:row>
      <xdr:rowOff>135064</xdr:rowOff>
    </xdr:to>
    <xdr:sp macro="" textlink="" fLocksText="0">
      <xdr:nvSpPr>
        <xdr:cNvPr id="51" name="Trapezoid 50">
          <a:extLst>
            <a:ext uri="{FF2B5EF4-FFF2-40B4-BE49-F238E27FC236}">
              <a16:creationId xmlns:a16="http://schemas.microsoft.com/office/drawing/2014/main" id="{00000000-0008-0000-03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23</xdr:row>
      <xdr:rowOff>124810</xdr:rowOff>
    </xdr:from>
    <xdr:to>
      <xdr:col>6</xdr:col>
      <xdr:colOff>157655</xdr:colOff>
      <xdr:row>25</xdr:row>
      <xdr:rowOff>210206</xdr:rowOff>
    </xdr:to>
    <xdr:sp macro="" textlink="" fLocksText="0">
      <xdr:nvSpPr>
        <xdr:cNvPr id="52" name="Trapezoid 51">
          <a:extLst>
            <a:ext uri="{FF2B5EF4-FFF2-40B4-BE49-F238E27FC236}">
              <a16:creationId xmlns:a16="http://schemas.microsoft.com/office/drawing/2014/main" id="{00000000-0008-0000-0300-000034000000}"/>
            </a:ext>
          </a:extLst>
        </xdr:cNvPr>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29</xdr:row>
      <xdr:rowOff>151086</xdr:rowOff>
    </xdr:from>
    <xdr:to>
      <xdr:col>6</xdr:col>
      <xdr:colOff>157655</xdr:colOff>
      <xdr:row>32</xdr:row>
      <xdr:rowOff>6569</xdr:rowOff>
    </xdr:to>
    <xdr:sp macro="" textlink="" fLocksText="0">
      <xdr:nvSpPr>
        <xdr:cNvPr id="53" name="Trapezoid 52">
          <a:extLst>
            <a:ext uri="{FF2B5EF4-FFF2-40B4-BE49-F238E27FC236}">
              <a16:creationId xmlns:a16="http://schemas.microsoft.com/office/drawing/2014/main" id="{00000000-0008-0000-0300-000035000000}"/>
            </a:ext>
          </a:extLst>
        </xdr:cNvPr>
        <xdr:cNvSpPr/>
      </xdr:nvSpPr>
      <xdr:spPr>
        <a:xfrm>
          <a:off x="5577052"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233199</xdr:colOff>
      <xdr:row>26</xdr:row>
      <xdr:rowOff>36131</xdr:rowOff>
    </xdr:from>
    <xdr:to>
      <xdr:col>6</xdr:col>
      <xdr:colOff>778423</xdr:colOff>
      <xdr:row>29</xdr:row>
      <xdr:rowOff>95251</xdr:rowOff>
    </xdr:to>
    <xdr:sp macro="" textlink="" fLocksText="0">
      <xdr:nvSpPr>
        <xdr:cNvPr id="54" name="Trapezoid 53">
          <a:extLst>
            <a:ext uri="{FF2B5EF4-FFF2-40B4-BE49-F238E27FC236}">
              <a16:creationId xmlns:a16="http://schemas.microsoft.com/office/drawing/2014/main" id="{00000000-0008-0000-0300-000036000000}"/>
            </a:ext>
          </a:extLst>
        </xdr:cNvPr>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26</xdr:row>
      <xdr:rowOff>36131</xdr:rowOff>
    </xdr:from>
    <xdr:to>
      <xdr:col>5</xdr:col>
      <xdr:colOff>1001768</xdr:colOff>
      <xdr:row>29</xdr:row>
      <xdr:rowOff>95251</xdr:rowOff>
    </xdr:to>
    <xdr:sp macro="" textlink="" fLocksText="0">
      <xdr:nvSpPr>
        <xdr:cNvPr id="55" name="Trapezoid 54">
          <a:extLst>
            <a:ext uri="{FF2B5EF4-FFF2-40B4-BE49-F238E27FC236}">
              <a16:creationId xmlns:a16="http://schemas.microsoft.com/office/drawing/2014/main" id="{00000000-0008-0000-0300-000037000000}"/>
            </a:ext>
          </a:extLst>
        </xdr:cNvPr>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1554024</xdr:colOff>
      <xdr:row>28</xdr:row>
      <xdr:rowOff>181111</xdr:rowOff>
    </xdr:from>
    <xdr:to>
      <xdr:col>6</xdr:col>
      <xdr:colOff>673782</xdr:colOff>
      <xdr:row>31</xdr:row>
      <xdr:rowOff>38499</xdr:rowOff>
    </xdr:to>
    <xdr:sp macro="" textlink="" fLocksText="0">
      <xdr:nvSpPr>
        <xdr:cNvPr id="56" name="Trapezoid 55">
          <a:extLst>
            <a:ext uri="{FF2B5EF4-FFF2-40B4-BE49-F238E27FC236}">
              <a16:creationId xmlns:a16="http://schemas.microsoft.com/office/drawing/2014/main" id="{00000000-0008-0000-0300-000038000000}"/>
            </a:ext>
          </a:extLst>
        </xdr:cNvPr>
        <xdr:cNvSpPr/>
      </xdr:nvSpPr>
      <xdr:spPr>
        <a:xfrm rot="18900000">
          <a:off x="6221274" y="5828075"/>
          <a:ext cx="793437" cy="55135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a:p>
          <a:pPr algn="ctr"/>
          <a:endParaRPr lang="en-US" sz="1100"/>
        </a:p>
      </xdr:txBody>
    </xdr:sp>
    <xdr:clientData fLocksWithSheet="0"/>
  </xdr:twoCellAnchor>
  <xdr:twoCellAnchor>
    <xdr:from>
      <xdr:col>5</xdr:col>
      <xdr:colOff>561907</xdr:colOff>
      <xdr:row>24</xdr:row>
      <xdr:rowOff>108650</xdr:rowOff>
    </xdr:from>
    <xdr:to>
      <xdr:col>5</xdr:col>
      <xdr:colOff>1310769</xdr:colOff>
      <xdr:row>26</xdr:row>
      <xdr:rowOff>194047</xdr:rowOff>
    </xdr:to>
    <xdr:sp macro="" textlink="" fLocksText="0">
      <xdr:nvSpPr>
        <xdr:cNvPr id="57" name="Trapezoid 56">
          <a:extLst>
            <a:ext uri="{FF2B5EF4-FFF2-40B4-BE49-F238E27FC236}">
              <a16:creationId xmlns:a16="http://schemas.microsoft.com/office/drawing/2014/main" id="{00000000-0008-0000-0300-000039000000}"/>
            </a:ext>
          </a:extLst>
        </xdr:cNvPr>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24</xdr:row>
      <xdr:rowOff>1577</xdr:rowOff>
    </xdr:from>
    <xdr:to>
      <xdr:col>6</xdr:col>
      <xdr:colOff>575181</xdr:colOff>
      <xdr:row>27</xdr:row>
      <xdr:rowOff>60698</xdr:rowOff>
    </xdr:to>
    <xdr:sp macro="" textlink="" fLocksText="0">
      <xdr:nvSpPr>
        <xdr:cNvPr id="58" name="Trapezoid 57">
          <a:extLst>
            <a:ext uri="{FF2B5EF4-FFF2-40B4-BE49-F238E27FC236}">
              <a16:creationId xmlns:a16="http://schemas.microsoft.com/office/drawing/2014/main" id="{00000000-0008-0000-0300-00003A000000}"/>
            </a:ext>
          </a:extLst>
        </xdr:cNvPr>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28</xdr:row>
      <xdr:rowOff>75943</xdr:rowOff>
    </xdr:from>
    <xdr:to>
      <xdr:col>5</xdr:col>
      <xdr:colOff>1210263</xdr:colOff>
      <xdr:row>31</xdr:row>
      <xdr:rowOff>135064</xdr:rowOff>
    </xdr:to>
    <xdr:sp macro="" textlink="" fLocksText="0">
      <xdr:nvSpPr>
        <xdr:cNvPr id="59" name="Trapezoid 58">
          <a:extLst>
            <a:ext uri="{FF2B5EF4-FFF2-40B4-BE49-F238E27FC236}">
              <a16:creationId xmlns:a16="http://schemas.microsoft.com/office/drawing/2014/main" id="{00000000-0008-0000-0300-00003B000000}"/>
            </a:ext>
          </a:extLst>
        </xdr:cNvPr>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344971</xdr:colOff>
      <xdr:row>36</xdr:row>
      <xdr:rowOff>121340</xdr:rowOff>
    </xdr:from>
    <xdr:to>
      <xdr:col>4</xdr:col>
      <xdr:colOff>63363</xdr:colOff>
      <xdr:row>37</xdr:row>
      <xdr:rowOff>46796</xdr:rowOff>
    </xdr:to>
    <xdr:sp macro="" textlink="">
      <xdr:nvSpPr>
        <xdr:cNvPr id="36" name="Rounded Rectangle 35">
          <a:extLst>
            <a:ext uri="{FF2B5EF4-FFF2-40B4-BE49-F238E27FC236}">
              <a16:creationId xmlns:a16="http://schemas.microsoft.com/office/drawing/2014/main" id="{00000000-0008-0000-0300-000024000000}"/>
            </a:ext>
          </a:extLst>
        </xdr:cNvPr>
        <xdr:cNvSpPr/>
      </xdr:nvSpPr>
      <xdr:spPr>
        <a:xfrm>
          <a:off x="3116746" y="7665140"/>
          <a:ext cx="604217"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489916</xdr:colOff>
      <xdr:row>35</xdr:row>
      <xdr:rowOff>254690</xdr:rowOff>
    </xdr:from>
    <xdr:to>
      <xdr:col>5</xdr:col>
      <xdr:colOff>208307</xdr:colOff>
      <xdr:row>36</xdr:row>
      <xdr:rowOff>46796</xdr:rowOff>
    </xdr:to>
    <xdr:sp macro="" textlink="">
      <xdr:nvSpPr>
        <xdr:cNvPr id="42" name="Rounded Rectangle 41">
          <a:extLst>
            <a:ext uri="{FF2B5EF4-FFF2-40B4-BE49-F238E27FC236}">
              <a16:creationId xmlns:a16="http://schemas.microsoft.com/office/drawing/2014/main" id="{00000000-0008-0000-0300-00002A000000}"/>
            </a:ext>
          </a:extLst>
        </xdr:cNvPr>
        <xdr:cNvSpPr/>
      </xdr:nvSpPr>
      <xdr:spPr>
        <a:xfrm>
          <a:off x="4147516" y="7436540"/>
          <a:ext cx="604216"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486602</xdr:colOff>
      <xdr:row>36</xdr:row>
      <xdr:rowOff>121340</xdr:rowOff>
    </xdr:from>
    <xdr:to>
      <xdr:col>5</xdr:col>
      <xdr:colOff>205408</xdr:colOff>
      <xdr:row>37</xdr:row>
      <xdr:rowOff>46796</xdr:rowOff>
    </xdr:to>
    <xdr:sp macro="" textlink="">
      <xdr:nvSpPr>
        <xdr:cNvPr id="60" name="Rounded Rectangle 59">
          <a:extLst>
            <a:ext uri="{FF2B5EF4-FFF2-40B4-BE49-F238E27FC236}">
              <a16:creationId xmlns:a16="http://schemas.microsoft.com/office/drawing/2014/main" id="{00000000-0008-0000-0300-00003C000000}"/>
            </a:ext>
          </a:extLst>
        </xdr:cNvPr>
        <xdr:cNvSpPr/>
      </xdr:nvSpPr>
      <xdr:spPr>
        <a:xfrm>
          <a:off x="4144202" y="7665140"/>
          <a:ext cx="604631"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342071</xdr:colOff>
      <xdr:row>35</xdr:row>
      <xdr:rowOff>245165</xdr:rowOff>
    </xdr:from>
    <xdr:to>
      <xdr:col>4</xdr:col>
      <xdr:colOff>64604</xdr:colOff>
      <xdr:row>36</xdr:row>
      <xdr:rowOff>37271</xdr:rowOff>
    </xdr:to>
    <xdr:sp macro="" textlink="">
      <xdr:nvSpPr>
        <xdr:cNvPr id="62" name="Rounded Rectangle 61">
          <a:extLst>
            <a:ext uri="{FF2B5EF4-FFF2-40B4-BE49-F238E27FC236}">
              <a16:creationId xmlns:a16="http://schemas.microsoft.com/office/drawing/2014/main" id="{00000000-0008-0000-0300-00003E000000}"/>
            </a:ext>
          </a:extLst>
        </xdr:cNvPr>
        <xdr:cNvSpPr/>
      </xdr:nvSpPr>
      <xdr:spPr>
        <a:xfrm>
          <a:off x="3113846" y="7427015"/>
          <a:ext cx="608358"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964096</xdr:colOff>
      <xdr:row>47</xdr:row>
      <xdr:rowOff>143295</xdr:rowOff>
    </xdr:from>
    <xdr:to>
      <xdr:col>3</xdr:col>
      <xdr:colOff>587238</xdr:colOff>
      <xdr:row>48</xdr:row>
      <xdr:rowOff>68752</xdr:rowOff>
    </xdr:to>
    <xdr:sp macro="" textlink="">
      <xdr:nvSpPr>
        <xdr:cNvPr id="67" name="Rounded Rectangle 66">
          <a:extLst>
            <a:ext uri="{FF2B5EF4-FFF2-40B4-BE49-F238E27FC236}">
              <a16:creationId xmlns:a16="http://schemas.microsoft.com/office/drawing/2014/main" id="{00000000-0008-0000-0300-000043000000}"/>
            </a:ext>
          </a:extLst>
        </xdr:cNvPr>
        <xdr:cNvSpPr/>
      </xdr:nvSpPr>
      <xdr:spPr>
        <a:xfrm>
          <a:off x="2754796" y="11211345"/>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964096</xdr:colOff>
      <xdr:row>46</xdr:row>
      <xdr:rowOff>154063</xdr:rowOff>
    </xdr:from>
    <xdr:to>
      <xdr:col>3</xdr:col>
      <xdr:colOff>587238</xdr:colOff>
      <xdr:row>47</xdr:row>
      <xdr:rowOff>79519</xdr:rowOff>
    </xdr:to>
    <xdr:sp macro="" textlink="">
      <xdr:nvSpPr>
        <xdr:cNvPr id="68" name="Rounded Rectangle 67">
          <a:extLst>
            <a:ext uri="{FF2B5EF4-FFF2-40B4-BE49-F238E27FC236}">
              <a16:creationId xmlns:a16="http://schemas.microsoft.com/office/drawing/2014/main" id="{00000000-0008-0000-0300-000044000000}"/>
            </a:ext>
          </a:extLst>
        </xdr:cNvPr>
        <xdr:cNvSpPr/>
      </xdr:nvSpPr>
      <xdr:spPr>
        <a:xfrm>
          <a:off x="2754796" y="10993513"/>
          <a:ext cx="604217"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766141</xdr:colOff>
      <xdr:row>46</xdr:row>
      <xdr:rowOff>152820</xdr:rowOff>
    </xdr:from>
    <xdr:to>
      <xdr:col>5</xdr:col>
      <xdr:colOff>484532</xdr:colOff>
      <xdr:row>47</xdr:row>
      <xdr:rowOff>78277</xdr:rowOff>
    </xdr:to>
    <xdr:sp macro="" textlink="">
      <xdr:nvSpPr>
        <xdr:cNvPr id="69" name="Rounded Rectangle 68">
          <a:extLst>
            <a:ext uri="{FF2B5EF4-FFF2-40B4-BE49-F238E27FC236}">
              <a16:creationId xmlns:a16="http://schemas.microsoft.com/office/drawing/2014/main" id="{00000000-0008-0000-0300-000045000000}"/>
            </a:ext>
          </a:extLst>
        </xdr:cNvPr>
        <xdr:cNvSpPr/>
      </xdr:nvSpPr>
      <xdr:spPr>
        <a:xfrm>
          <a:off x="4423741" y="9982620"/>
          <a:ext cx="604216"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775666</xdr:colOff>
      <xdr:row>47</xdr:row>
      <xdr:rowOff>154063</xdr:rowOff>
    </xdr:from>
    <xdr:to>
      <xdr:col>5</xdr:col>
      <xdr:colOff>494057</xdr:colOff>
      <xdr:row>48</xdr:row>
      <xdr:rowOff>79519</xdr:rowOff>
    </xdr:to>
    <xdr:sp macro="" textlink="">
      <xdr:nvSpPr>
        <xdr:cNvPr id="70" name="Rounded Rectangle 69">
          <a:extLst>
            <a:ext uri="{FF2B5EF4-FFF2-40B4-BE49-F238E27FC236}">
              <a16:creationId xmlns:a16="http://schemas.microsoft.com/office/drawing/2014/main" id="{00000000-0008-0000-0300-000046000000}"/>
            </a:ext>
          </a:extLst>
        </xdr:cNvPr>
        <xdr:cNvSpPr/>
      </xdr:nvSpPr>
      <xdr:spPr>
        <a:xfrm>
          <a:off x="4433266" y="10212463"/>
          <a:ext cx="604216"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580196</xdr:colOff>
      <xdr:row>43</xdr:row>
      <xdr:rowOff>67095</xdr:rowOff>
    </xdr:from>
    <xdr:to>
      <xdr:col>5</xdr:col>
      <xdr:colOff>1188554</xdr:colOff>
      <xdr:row>43</xdr:row>
      <xdr:rowOff>221152</xdr:rowOff>
    </xdr:to>
    <xdr:sp macro="" textlink="">
      <xdr:nvSpPr>
        <xdr:cNvPr id="73" name="Rounded Rectangle 72">
          <a:extLst>
            <a:ext uri="{FF2B5EF4-FFF2-40B4-BE49-F238E27FC236}">
              <a16:creationId xmlns:a16="http://schemas.microsoft.com/office/drawing/2014/main" id="{00000000-0008-0000-0300-000049000000}"/>
            </a:ext>
          </a:extLst>
        </xdr:cNvPr>
        <xdr:cNvSpPr/>
      </xdr:nvSpPr>
      <xdr:spPr>
        <a:xfrm>
          <a:off x="5123621" y="9211095"/>
          <a:ext cx="608358"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570671</xdr:colOff>
      <xdr:row>44</xdr:row>
      <xdr:rowOff>68338</xdr:rowOff>
    </xdr:from>
    <xdr:to>
      <xdr:col>5</xdr:col>
      <xdr:colOff>1179029</xdr:colOff>
      <xdr:row>44</xdr:row>
      <xdr:rowOff>222394</xdr:rowOff>
    </xdr:to>
    <xdr:sp macro="" textlink="">
      <xdr:nvSpPr>
        <xdr:cNvPr id="74" name="Rounded Rectangle 73">
          <a:extLst>
            <a:ext uri="{FF2B5EF4-FFF2-40B4-BE49-F238E27FC236}">
              <a16:creationId xmlns:a16="http://schemas.microsoft.com/office/drawing/2014/main" id="{00000000-0008-0000-0300-00004A000000}"/>
            </a:ext>
          </a:extLst>
        </xdr:cNvPr>
        <xdr:cNvSpPr/>
      </xdr:nvSpPr>
      <xdr:spPr>
        <a:xfrm>
          <a:off x="5114096" y="9440938"/>
          <a:ext cx="608358"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312667</xdr:colOff>
      <xdr:row>44</xdr:row>
      <xdr:rowOff>67095</xdr:rowOff>
    </xdr:from>
    <xdr:to>
      <xdr:col>2</xdr:col>
      <xdr:colOff>918541</xdr:colOff>
      <xdr:row>44</xdr:row>
      <xdr:rowOff>221152</xdr:rowOff>
    </xdr:to>
    <xdr:sp macro="" textlink="">
      <xdr:nvSpPr>
        <xdr:cNvPr id="75" name="Rounded Rectangle 74">
          <a:extLst>
            <a:ext uri="{FF2B5EF4-FFF2-40B4-BE49-F238E27FC236}">
              <a16:creationId xmlns:a16="http://schemas.microsoft.com/office/drawing/2014/main" id="{00000000-0008-0000-0300-00004B000000}"/>
            </a:ext>
          </a:extLst>
        </xdr:cNvPr>
        <xdr:cNvSpPr/>
      </xdr:nvSpPr>
      <xdr:spPr>
        <a:xfrm>
          <a:off x="2103367" y="9439695"/>
          <a:ext cx="605874"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322192</xdr:colOff>
      <xdr:row>43</xdr:row>
      <xdr:rowOff>68338</xdr:rowOff>
    </xdr:from>
    <xdr:to>
      <xdr:col>2</xdr:col>
      <xdr:colOff>928066</xdr:colOff>
      <xdr:row>43</xdr:row>
      <xdr:rowOff>222394</xdr:rowOff>
    </xdr:to>
    <xdr:sp macro="" textlink="">
      <xdr:nvSpPr>
        <xdr:cNvPr id="76" name="Rounded Rectangle 75">
          <a:extLst>
            <a:ext uri="{FF2B5EF4-FFF2-40B4-BE49-F238E27FC236}">
              <a16:creationId xmlns:a16="http://schemas.microsoft.com/office/drawing/2014/main" id="{00000000-0008-0000-0300-00004C000000}"/>
            </a:ext>
          </a:extLst>
        </xdr:cNvPr>
        <xdr:cNvSpPr/>
      </xdr:nvSpPr>
      <xdr:spPr>
        <a:xfrm>
          <a:off x="2112892" y="9212338"/>
          <a:ext cx="605874"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47624</xdr:colOff>
      <xdr:row>35</xdr:row>
      <xdr:rowOff>95250</xdr:rowOff>
    </xdr:from>
    <xdr:to>
      <xdr:col>5</xdr:col>
      <xdr:colOff>1438275</xdr:colOff>
      <xdr:row>49</xdr:row>
      <xdr:rowOff>140811</xdr:rowOff>
    </xdr:to>
    <xdr:sp macro="" textlink="">
      <xdr:nvSpPr>
        <xdr:cNvPr id="77" name="Rounded Rectangle 76">
          <a:extLst>
            <a:ext uri="{FF2B5EF4-FFF2-40B4-BE49-F238E27FC236}">
              <a16:creationId xmlns:a16="http://schemas.microsoft.com/office/drawing/2014/main" id="{00000000-0008-0000-0300-00004D000000}"/>
            </a:ext>
          </a:extLst>
        </xdr:cNvPr>
        <xdr:cNvSpPr/>
      </xdr:nvSpPr>
      <xdr:spPr>
        <a:xfrm>
          <a:off x="1838324" y="8420100"/>
          <a:ext cx="4143376" cy="3379311"/>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9525</xdr:colOff>
      <xdr:row>0</xdr:row>
      <xdr:rowOff>114300</xdr:rowOff>
    </xdr:from>
    <xdr:to>
      <xdr:col>2</xdr:col>
      <xdr:colOff>962025</xdr:colOff>
      <xdr:row>2</xdr:row>
      <xdr:rowOff>248412</xdr:rowOff>
    </xdr:to>
    <xdr:pic>
      <xdr:nvPicPr>
        <xdr:cNvPr id="71" name="Picture 70">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 y="114300"/>
          <a:ext cx="2743200" cy="648462"/>
        </a:xfrm>
        <a:prstGeom prst="rect">
          <a:avLst/>
        </a:prstGeom>
      </xdr:spPr>
    </xdr:pic>
    <xdr:clientData/>
  </xdr:twoCellAnchor>
  <xdr:twoCellAnchor>
    <xdr:from>
      <xdr:col>6</xdr:col>
      <xdr:colOff>215339</xdr:colOff>
      <xdr:row>58</xdr:row>
      <xdr:rowOff>190501</xdr:rowOff>
    </xdr:from>
    <xdr:to>
      <xdr:col>6</xdr:col>
      <xdr:colOff>828253</xdr:colOff>
      <xdr:row>59</xdr:row>
      <xdr:rowOff>231914</xdr:rowOff>
    </xdr:to>
    <xdr:sp macro="" textlink="">
      <xdr:nvSpPr>
        <xdr:cNvPr id="66" name="TextBox 65">
          <a:extLst>
            <a:ext uri="{FF2B5EF4-FFF2-40B4-BE49-F238E27FC236}">
              <a16:creationId xmlns:a16="http://schemas.microsoft.com/office/drawing/2014/main" id="{00000000-0008-0000-0300-000042000000}"/>
            </a:ext>
          </a:extLst>
        </xdr:cNvPr>
        <xdr:cNvSpPr txBox="1"/>
      </xdr:nvSpPr>
      <xdr:spPr>
        <a:xfrm>
          <a:off x="6387539" y="9886951"/>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57</xdr:row>
      <xdr:rowOff>149086</xdr:rowOff>
    </xdr:from>
    <xdr:to>
      <xdr:col>6</xdr:col>
      <xdr:colOff>861398</xdr:colOff>
      <xdr:row>58</xdr:row>
      <xdr:rowOff>190499</xdr:rowOff>
    </xdr:to>
    <xdr:sp macro="" textlink="">
      <xdr:nvSpPr>
        <xdr:cNvPr id="72" name="TextBox 71">
          <a:extLst>
            <a:ext uri="{FF2B5EF4-FFF2-40B4-BE49-F238E27FC236}">
              <a16:creationId xmlns:a16="http://schemas.microsoft.com/office/drawing/2014/main" id="{00000000-0008-0000-0300-000048000000}"/>
            </a:ext>
          </a:extLst>
        </xdr:cNvPr>
        <xdr:cNvSpPr txBox="1"/>
      </xdr:nvSpPr>
      <xdr:spPr>
        <a:xfrm>
          <a:off x="6511777" y="9616936"/>
          <a:ext cx="521821"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52</xdr:row>
      <xdr:rowOff>223624</xdr:rowOff>
    </xdr:from>
    <xdr:to>
      <xdr:col>7</xdr:col>
      <xdr:colOff>231912</xdr:colOff>
      <xdr:row>54</xdr:row>
      <xdr:rowOff>33124</xdr:rowOff>
    </xdr:to>
    <xdr:sp macro="" textlink="">
      <xdr:nvSpPr>
        <xdr:cNvPr id="83" name="TextBox 82">
          <a:extLst>
            <a:ext uri="{FF2B5EF4-FFF2-40B4-BE49-F238E27FC236}">
              <a16:creationId xmlns:a16="http://schemas.microsoft.com/office/drawing/2014/main" id="{00000000-0008-0000-0300-000053000000}"/>
            </a:ext>
          </a:extLst>
        </xdr:cNvPr>
        <xdr:cNvSpPr txBox="1"/>
      </xdr:nvSpPr>
      <xdr:spPr>
        <a:xfrm>
          <a:off x="6478640" y="8548474"/>
          <a:ext cx="973222"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52</xdr:row>
      <xdr:rowOff>41418</xdr:rowOff>
    </xdr:from>
    <xdr:to>
      <xdr:col>6</xdr:col>
      <xdr:colOff>695740</xdr:colOff>
      <xdr:row>53</xdr:row>
      <xdr:rowOff>82831</xdr:rowOff>
    </xdr:to>
    <xdr:sp macro="" textlink="">
      <xdr:nvSpPr>
        <xdr:cNvPr id="84" name="TextBox 83">
          <a:extLst>
            <a:ext uri="{FF2B5EF4-FFF2-40B4-BE49-F238E27FC236}">
              <a16:creationId xmlns:a16="http://schemas.microsoft.com/office/drawing/2014/main" id="{00000000-0008-0000-0300-000054000000}"/>
            </a:ext>
          </a:extLst>
        </xdr:cNvPr>
        <xdr:cNvSpPr txBox="1"/>
      </xdr:nvSpPr>
      <xdr:spPr>
        <a:xfrm>
          <a:off x="6404114" y="8366268"/>
          <a:ext cx="463826"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54</xdr:row>
      <xdr:rowOff>41414</xdr:rowOff>
    </xdr:from>
    <xdr:to>
      <xdr:col>6</xdr:col>
      <xdr:colOff>828253</xdr:colOff>
      <xdr:row>55</xdr:row>
      <xdr:rowOff>82827</xdr:rowOff>
    </xdr:to>
    <xdr:sp macro="" textlink="">
      <xdr:nvSpPr>
        <xdr:cNvPr id="95" name="TextBox 94">
          <a:extLst>
            <a:ext uri="{FF2B5EF4-FFF2-40B4-BE49-F238E27FC236}">
              <a16:creationId xmlns:a16="http://schemas.microsoft.com/office/drawing/2014/main" id="{00000000-0008-0000-0300-00005F000000}"/>
            </a:ext>
          </a:extLst>
        </xdr:cNvPr>
        <xdr:cNvSpPr txBox="1"/>
      </xdr:nvSpPr>
      <xdr:spPr>
        <a:xfrm>
          <a:off x="6387539" y="8823464"/>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56</xdr:row>
      <xdr:rowOff>190505</xdr:rowOff>
    </xdr:from>
    <xdr:to>
      <xdr:col>6</xdr:col>
      <xdr:colOff>695740</xdr:colOff>
      <xdr:row>58</xdr:row>
      <xdr:rowOff>4</xdr:rowOff>
    </xdr:to>
    <xdr:sp macro="" textlink="">
      <xdr:nvSpPr>
        <xdr:cNvPr id="96" name="TextBox 95">
          <a:extLst>
            <a:ext uri="{FF2B5EF4-FFF2-40B4-BE49-F238E27FC236}">
              <a16:creationId xmlns:a16="http://schemas.microsoft.com/office/drawing/2014/main" id="{00000000-0008-0000-0300-000060000000}"/>
            </a:ext>
          </a:extLst>
        </xdr:cNvPr>
        <xdr:cNvSpPr txBox="1"/>
      </xdr:nvSpPr>
      <xdr:spPr>
        <a:xfrm>
          <a:off x="6404114" y="9429755"/>
          <a:ext cx="463826" cy="2666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52</xdr:row>
      <xdr:rowOff>223624</xdr:rowOff>
    </xdr:from>
    <xdr:to>
      <xdr:col>1</xdr:col>
      <xdr:colOff>1043608</xdr:colOff>
      <xdr:row>54</xdr:row>
      <xdr:rowOff>33124</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32919" y="8548474"/>
          <a:ext cx="977364"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57</xdr:row>
      <xdr:rowOff>132515</xdr:rowOff>
    </xdr:from>
    <xdr:to>
      <xdr:col>1</xdr:col>
      <xdr:colOff>894529</xdr:colOff>
      <xdr:row>58</xdr:row>
      <xdr:rowOff>173928</xdr:rowOff>
    </xdr:to>
    <xdr:sp macro="" textlink="">
      <xdr:nvSpPr>
        <xdr:cNvPr id="98" name="TextBox 97">
          <a:extLst>
            <a:ext uri="{FF2B5EF4-FFF2-40B4-BE49-F238E27FC236}">
              <a16:creationId xmlns:a16="http://schemas.microsoft.com/office/drawing/2014/main" id="{00000000-0008-0000-0300-000062000000}"/>
            </a:ext>
          </a:extLst>
        </xdr:cNvPr>
        <xdr:cNvSpPr txBox="1"/>
      </xdr:nvSpPr>
      <xdr:spPr>
        <a:xfrm>
          <a:off x="439383" y="9600365"/>
          <a:ext cx="521821"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56</xdr:row>
      <xdr:rowOff>182222</xdr:rowOff>
    </xdr:from>
    <xdr:to>
      <xdr:col>1</xdr:col>
      <xdr:colOff>1076743</xdr:colOff>
      <xdr:row>57</xdr:row>
      <xdr:rowOff>223634</xdr:rowOff>
    </xdr:to>
    <xdr:sp macro="" textlink="">
      <xdr:nvSpPr>
        <xdr:cNvPr id="99" name="TextBox 98">
          <a:extLst>
            <a:ext uri="{FF2B5EF4-FFF2-40B4-BE49-F238E27FC236}">
              <a16:creationId xmlns:a16="http://schemas.microsoft.com/office/drawing/2014/main" id="{00000000-0008-0000-0300-000063000000}"/>
            </a:ext>
          </a:extLst>
        </xdr:cNvPr>
        <xdr:cNvSpPr txBox="1"/>
      </xdr:nvSpPr>
      <xdr:spPr>
        <a:xfrm>
          <a:off x="679592" y="9421472"/>
          <a:ext cx="463826" cy="270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58</xdr:row>
      <xdr:rowOff>149085</xdr:rowOff>
    </xdr:from>
    <xdr:to>
      <xdr:col>1</xdr:col>
      <xdr:colOff>1027038</xdr:colOff>
      <xdr:row>59</xdr:row>
      <xdr:rowOff>190498</xdr:rowOff>
    </xdr:to>
    <xdr:sp macro="" textlink="">
      <xdr:nvSpPr>
        <xdr:cNvPr id="100" name="TextBox 99">
          <a:extLst>
            <a:ext uri="{FF2B5EF4-FFF2-40B4-BE49-F238E27FC236}">
              <a16:creationId xmlns:a16="http://schemas.microsoft.com/office/drawing/2014/main" id="{00000000-0008-0000-0300-000064000000}"/>
            </a:ext>
          </a:extLst>
        </xdr:cNvPr>
        <xdr:cNvSpPr txBox="1"/>
      </xdr:nvSpPr>
      <xdr:spPr>
        <a:xfrm>
          <a:off x="480799" y="9845535"/>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51</xdr:row>
      <xdr:rowOff>223631</xdr:rowOff>
    </xdr:from>
    <xdr:to>
      <xdr:col>1</xdr:col>
      <xdr:colOff>1134718</xdr:colOff>
      <xdr:row>53</xdr:row>
      <xdr:rowOff>33131</xdr:rowOff>
    </xdr:to>
    <xdr:sp macro="" textlink="">
      <xdr:nvSpPr>
        <xdr:cNvPr id="101" name="TextBox 100">
          <a:extLst>
            <a:ext uri="{FF2B5EF4-FFF2-40B4-BE49-F238E27FC236}">
              <a16:creationId xmlns:a16="http://schemas.microsoft.com/office/drawing/2014/main" id="{00000000-0008-0000-0300-000065000000}"/>
            </a:ext>
          </a:extLst>
        </xdr:cNvPr>
        <xdr:cNvSpPr txBox="1"/>
      </xdr:nvSpPr>
      <xdr:spPr>
        <a:xfrm>
          <a:off x="737567" y="8319881"/>
          <a:ext cx="463826"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54</xdr:row>
      <xdr:rowOff>41410</xdr:rowOff>
    </xdr:from>
    <xdr:to>
      <xdr:col>1</xdr:col>
      <xdr:colOff>1068452</xdr:colOff>
      <xdr:row>55</xdr:row>
      <xdr:rowOff>82823</xdr:rowOff>
    </xdr:to>
    <xdr:sp macro="" textlink="">
      <xdr:nvSpPr>
        <xdr:cNvPr id="102" name="TextBox 101">
          <a:extLst>
            <a:ext uri="{FF2B5EF4-FFF2-40B4-BE49-F238E27FC236}">
              <a16:creationId xmlns:a16="http://schemas.microsoft.com/office/drawing/2014/main" id="{00000000-0008-0000-0300-000066000000}"/>
            </a:ext>
          </a:extLst>
        </xdr:cNvPr>
        <xdr:cNvSpPr txBox="1"/>
      </xdr:nvSpPr>
      <xdr:spPr>
        <a:xfrm>
          <a:off x="522213" y="8823460"/>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911087</xdr:colOff>
      <xdr:row>52</xdr:row>
      <xdr:rowOff>99391</xdr:rowOff>
    </xdr:from>
    <xdr:to>
      <xdr:col>6</xdr:col>
      <xdr:colOff>323023</xdr:colOff>
      <xdr:row>54</xdr:row>
      <xdr:rowOff>223630</xdr:rowOff>
    </xdr:to>
    <xdr:sp macro="" textlink="">
      <xdr:nvSpPr>
        <xdr:cNvPr id="103" name="Rounded Rectangle 102">
          <a:extLst>
            <a:ext uri="{FF2B5EF4-FFF2-40B4-BE49-F238E27FC236}">
              <a16:creationId xmlns:a16="http://schemas.microsoft.com/office/drawing/2014/main" id="{00000000-0008-0000-0300-000067000000}"/>
            </a:ext>
          </a:extLst>
        </xdr:cNvPr>
        <xdr:cNvSpPr/>
      </xdr:nvSpPr>
      <xdr:spPr>
        <a:xfrm>
          <a:off x="977762" y="8424241"/>
          <a:ext cx="5517461" cy="581439"/>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52</xdr:row>
      <xdr:rowOff>207065</xdr:rowOff>
    </xdr:from>
    <xdr:to>
      <xdr:col>4</xdr:col>
      <xdr:colOff>339588</xdr:colOff>
      <xdr:row>53</xdr:row>
      <xdr:rowOff>132521</xdr:rowOff>
    </xdr:to>
    <xdr:sp macro="" textlink="">
      <xdr:nvSpPr>
        <xdr:cNvPr id="104" name="Rounded Rectangle 103">
          <a:extLst>
            <a:ext uri="{FF2B5EF4-FFF2-40B4-BE49-F238E27FC236}">
              <a16:creationId xmlns:a16="http://schemas.microsoft.com/office/drawing/2014/main" id="{00000000-0008-0000-0300-000068000000}"/>
            </a:ext>
          </a:extLst>
        </xdr:cNvPr>
        <xdr:cNvSpPr/>
      </xdr:nvSpPr>
      <xdr:spPr>
        <a:xfrm>
          <a:off x="3392971" y="8531915"/>
          <a:ext cx="604217"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53</xdr:row>
      <xdr:rowOff>198782</xdr:rowOff>
    </xdr:from>
    <xdr:to>
      <xdr:col>4</xdr:col>
      <xdr:colOff>339588</xdr:colOff>
      <xdr:row>54</xdr:row>
      <xdr:rowOff>124238</xdr:rowOff>
    </xdr:to>
    <xdr:sp macro="" textlink="">
      <xdr:nvSpPr>
        <xdr:cNvPr id="105" name="Rounded Rectangle 104">
          <a:extLst>
            <a:ext uri="{FF2B5EF4-FFF2-40B4-BE49-F238E27FC236}">
              <a16:creationId xmlns:a16="http://schemas.microsoft.com/office/drawing/2014/main" id="{00000000-0008-0000-0300-000069000000}"/>
            </a:ext>
          </a:extLst>
        </xdr:cNvPr>
        <xdr:cNvSpPr/>
      </xdr:nvSpPr>
      <xdr:spPr>
        <a:xfrm>
          <a:off x="3392971" y="8752232"/>
          <a:ext cx="604217"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52</xdr:row>
      <xdr:rowOff>207065</xdr:rowOff>
    </xdr:from>
    <xdr:to>
      <xdr:col>5</xdr:col>
      <xdr:colOff>579782</xdr:colOff>
      <xdr:row>53</xdr:row>
      <xdr:rowOff>132521</xdr:rowOff>
    </xdr:to>
    <xdr:sp macro="" textlink="">
      <xdr:nvSpPr>
        <xdr:cNvPr id="106" name="Rounded Rectangle 105">
          <a:extLst>
            <a:ext uri="{FF2B5EF4-FFF2-40B4-BE49-F238E27FC236}">
              <a16:creationId xmlns:a16="http://schemas.microsoft.com/office/drawing/2014/main" id="{00000000-0008-0000-0300-00006A000000}"/>
            </a:ext>
          </a:extLst>
        </xdr:cNvPr>
        <xdr:cNvSpPr/>
      </xdr:nvSpPr>
      <xdr:spPr>
        <a:xfrm>
          <a:off x="4518991" y="8531915"/>
          <a:ext cx="604216"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53</xdr:row>
      <xdr:rowOff>198782</xdr:rowOff>
    </xdr:from>
    <xdr:to>
      <xdr:col>5</xdr:col>
      <xdr:colOff>579782</xdr:colOff>
      <xdr:row>54</xdr:row>
      <xdr:rowOff>124238</xdr:rowOff>
    </xdr:to>
    <xdr:sp macro="" textlink="">
      <xdr:nvSpPr>
        <xdr:cNvPr id="107" name="Rounded Rectangle 106">
          <a:extLst>
            <a:ext uri="{FF2B5EF4-FFF2-40B4-BE49-F238E27FC236}">
              <a16:creationId xmlns:a16="http://schemas.microsoft.com/office/drawing/2014/main" id="{00000000-0008-0000-0300-00006B000000}"/>
            </a:ext>
          </a:extLst>
        </xdr:cNvPr>
        <xdr:cNvSpPr/>
      </xdr:nvSpPr>
      <xdr:spPr>
        <a:xfrm>
          <a:off x="4518991" y="8752232"/>
          <a:ext cx="604216"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52</xdr:row>
      <xdr:rowOff>207065</xdr:rowOff>
    </xdr:from>
    <xdr:to>
      <xdr:col>5</xdr:col>
      <xdr:colOff>1615108</xdr:colOff>
      <xdr:row>53</xdr:row>
      <xdr:rowOff>132521</xdr:rowOff>
    </xdr:to>
    <xdr:sp macro="" textlink="">
      <xdr:nvSpPr>
        <xdr:cNvPr id="108" name="Rounded Rectangle 107">
          <a:extLst>
            <a:ext uri="{FF2B5EF4-FFF2-40B4-BE49-F238E27FC236}">
              <a16:creationId xmlns:a16="http://schemas.microsoft.com/office/drawing/2014/main" id="{00000000-0008-0000-0300-00006C000000}"/>
            </a:ext>
          </a:extLst>
        </xdr:cNvPr>
        <xdr:cNvSpPr/>
      </xdr:nvSpPr>
      <xdr:spPr>
        <a:xfrm>
          <a:off x="5553902" y="8531915"/>
          <a:ext cx="604631"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53</xdr:row>
      <xdr:rowOff>198782</xdr:rowOff>
    </xdr:from>
    <xdr:to>
      <xdr:col>5</xdr:col>
      <xdr:colOff>1615108</xdr:colOff>
      <xdr:row>54</xdr:row>
      <xdr:rowOff>124238</xdr:rowOff>
    </xdr:to>
    <xdr:sp macro="" textlink="">
      <xdr:nvSpPr>
        <xdr:cNvPr id="109" name="Rounded Rectangle 108">
          <a:extLst>
            <a:ext uri="{FF2B5EF4-FFF2-40B4-BE49-F238E27FC236}">
              <a16:creationId xmlns:a16="http://schemas.microsoft.com/office/drawing/2014/main" id="{00000000-0008-0000-0300-00006D000000}"/>
            </a:ext>
          </a:extLst>
        </xdr:cNvPr>
        <xdr:cNvSpPr/>
      </xdr:nvSpPr>
      <xdr:spPr>
        <a:xfrm>
          <a:off x="5553902" y="8752232"/>
          <a:ext cx="604631"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52</xdr:row>
      <xdr:rowOff>207065</xdr:rowOff>
    </xdr:from>
    <xdr:to>
      <xdr:col>3</xdr:col>
      <xdr:colOff>140804</xdr:colOff>
      <xdr:row>53</xdr:row>
      <xdr:rowOff>132521</xdr:rowOff>
    </xdr:to>
    <xdr:sp macro="" textlink="">
      <xdr:nvSpPr>
        <xdr:cNvPr id="110" name="Rounded Rectangle 109">
          <a:extLst>
            <a:ext uri="{FF2B5EF4-FFF2-40B4-BE49-F238E27FC236}">
              <a16:creationId xmlns:a16="http://schemas.microsoft.com/office/drawing/2014/main" id="{00000000-0008-0000-0300-00006E000000}"/>
            </a:ext>
          </a:extLst>
        </xdr:cNvPr>
        <xdr:cNvSpPr/>
      </xdr:nvSpPr>
      <xdr:spPr>
        <a:xfrm>
          <a:off x="2304221" y="8531915"/>
          <a:ext cx="608358"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53</xdr:row>
      <xdr:rowOff>198782</xdr:rowOff>
    </xdr:from>
    <xdr:to>
      <xdr:col>3</xdr:col>
      <xdr:colOff>140804</xdr:colOff>
      <xdr:row>54</xdr:row>
      <xdr:rowOff>124238</xdr:rowOff>
    </xdr:to>
    <xdr:sp macro="" textlink="">
      <xdr:nvSpPr>
        <xdr:cNvPr id="111" name="Rounded Rectangle 110">
          <a:extLst>
            <a:ext uri="{FF2B5EF4-FFF2-40B4-BE49-F238E27FC236}">
              <a16:creationId xmlns:a16="http://schemas.microsoft.com/office/drawing/2014/main" id="{00000000-0008-0000-0300-00006F000000}"/>
            </a:ext>
          </a:extLst>
        </xdr:cNvPr>
        <xdr:cNvSpPr/>
      </xdr:nvSpPr>
      <xdr:spPr>
        <a:xfrm>
          <a:off x="2304221" y="8752232"/>
          <a:ext cx="608358"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52</xdr:row>
      <xdr:rowOff>207065</xdr:rowOff>
    </xdr:from>
    <xdr:to>
      <xdr:col>2</xdr:col>
      <xdr:colOff>99391</xdr:colOff>
      <xdr:row>53</xdr:row>
      <xdr:rowOff>132521</xdr:rowOff>
    </xdr:to>
    <xdr:sp macro="" textlink="">
      <xdr:nvSpPr>
        <xdr:cNvPr id="112" name="Rounded Rectangle 111">
          <a:extLst>
            <a:ext uri="{FF2B5EF4-FFF2-40B4-BE49-F238E27FC236}">
              <a16:creationId xmlns:a16="http://schemas.microsoft.com/office/drawing/2014/main" id="{00000000-0008-0000-0300-000070000000}"/>
            </a:ext>
          </a:extLst>
        </xdr:cNvPr>
        <xdr:cNvSpPr/>
      </xdr:nvSpPr>
      <xdr:spPr>
        <a:xfrm>
          <a:off x="1284217" y="8531915"/>
          <a:ext cx="605874"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53</xdr:row>
      <xdr:rowOff>198782</xdr:rowOff>
    </xdr:from>
    <xdr:to>
      <xdr:col>2</xdr:col>
      <xdr:colOff>99391</xdr:colOff>
      <xdr:row>54</xdr:row>
      <xdr:rowOff>124238</xdr:rowOff>
    </xdr:to>
    <xdr:sp macro="" textlink="">
      <xdr:nvSpPr>
        <xdr:cNvPr id="113" name="Rounded Rectangle 112">
          <a:extLst>
            <a:ext uri="{FF2B5EF4-FFF2-40B4-BE49-F238E27FC236}">
              <a16:creationId xmlns:a16="http://schemas.microsoft.com/office/drawing/2014/main" id="{00000000-0008-0000-0300-000071000000}"/>
            </a:ext>
          </a:extLst>
        </xdr:cNvPr>
        <xdr:cNvSpPr/>
      </xdr:nvSpPr>
      <xdr:spPr>
        <a:xfrm>
          <a:off x="1284217" y="8752232"/>
          <a:ext cx="605874"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57</xdr:row>
      <xdr:rowOff>124245</xdr:rowOff>
    </xdr:from>
    <xdr:to>
      <xdr:col>4</xdr:col>
      <xdr:colOff>339588</xdr:colOff>
      <xdr:row>58</xdr:row>
      <xdr:rowOff>49702</xdr:rowOff>
    </xdr:to>
    <xdr:sp macro="" textlink="">
      <xdr:nvSpPr>
        <xdr:cNvPr id="114" name="Rounded Rectangle 113">
          <a:extLst>
            <a:ext uri="{FF2B5EF4-FFF2-40B4-BE49-F238E27FC236}">
              <a16:creationId xmlns:a16="http://schemas.microsoft.com/office/drawing/2014/main" id="{00000000-0008-0000-0300-000072000000}"/>
            </a:ext>
          </a:extLst>
        </xdr:cNvPr>
        <xdr:cNvSpPr/>
      </xdr:nvSpPr>
      <xdr:spPr>
        <a:xfrm>
          <a:off x="3392971" y="9592095"/>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58</xdr:row>
      <xdr:rowOff>115963</xdr:rowOff>
    </xdr:from>
    <xdr:to>
      <xdr:col>4</xdr:col>
      <xdr:colOff>339588</xdr:colOff>
      <xdr:row>59</xdr:row>
      <xdr:rowOff>41419</xdr:rowOff>
    </xdr:to>
    <xdr:sp macro="" textlink="">
      <xdr:nvSpPr>
        <xdr:cNvPr id="115" name="Rounded Rectangle 114">
          <a:extLst>
            <a:ext uri="{FF2B5EF4-FFF2-40B4-BE49-F238E27FC236}">
              <a16:creationId xmlns:a16="http://schemas.microsoft.com/office/drawing/2014/main" id="{00000000-0008-0000-0300-000073000000}"/>
            </a:ext>
          </a:extLst>
        </xdr:cNvPr>
        <xdr:cNvSpPr/>
      </xdr:nvSpPr>
      <xdr:spPr>
        <a:xfrm>
          <a:off x="3392971" y="9812413"/>
          <a:ext cx="604217"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57</xdr:row>
      <xdr:rowOff>124245</xdr:rowOff>
    </xdr:from>
    <xdr:to>
      <xdr:col>5</xdr:col>
      <xdr:colOff>579782</xdr:colOff>
      <xdr:row>58</xdr:row>
      <xdr:rowOff>49702</xdr:rowOff>
    </xdr:to>
    <xdr:sp macro="" textlink="">
      <xdr:nvSpPr>
        <xdr:cNvPr id="116" name="Rounded Rectangle 115">
          <a:extLst>
            <a:ext uri="{FF2B5EF4-FFF2-40B4-BE49-F238E27FC236}">
              <a16:creationId xmlns:a16="http://schemas.microsoft.com/office/drawing/2014/main" id="{00000000-0008-0000-0300-000074000000}"/>
            </a:ext>
          </a:extLst>
        </xdr:cNvPr>
        <xdr:cNvSpPr/>
      </xdr:nvSpPr>
      <xdr:spPr>
        <a:xfrm>
          <a:off x="4518991" y="9592095"/>
          <a:ext cx="604216"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58</xdr:row>
      <xdr:rowOff>115963</xdr:rowOff>
    </xdr:from>
    <xdr:to>
      <xdr:col>5</xdr:col>
      <xdr:colOff>579782</xdr:colOff>
      <xdr:row>59</xdr:row>
      <xdr:rowOff>41419</xdr:rowOff>
    </xdr:to>
    <xdr:sp macro="" textlink="">
      <xdr:nvSpPr>
        <xdr:cNvPr id="117" name="Rounded Rectangle 116">
          <a:extLst>
            <a:ext uri="{FF2B5EF4-FFF2-40B4-BE49-F238E27FC236}">
              <a16:creationId xmlns:a16="http://schemas.microsoft.com/office/drawing/2014/main" id="{00000000-0008-0000-0300-000075000000}"/>
            </a:ext>
          </a:extLst>
        </xdr:cNvPr>
        <xdr:cNvSpPr/>
      </xdr:nvSpPr>
      <xdr:spPr>
        <a:xfrm>
          <a:off x="4518991" y="9812413"/>
          <a:ext cx="604216"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57</xdr:row>
      <xdr:rowOff>124245</xdr:rowOff>
    </xdr:from>
    <xdr:to>
      <xdr:col>3</xdr:col>
      <xdr:colOff>140804</xdr:colOff>
      <xdr:row>58</xdr:row>
      <xdr:rowOff>49702</xdr:rowOff>
    </xdr:to>
    <xdr:sp macro="" textlink="">
      <xdr:nvSpPr>
        <xdr:cNvPr id="118" name="Rounded Rectangle 117">
          <a:extLst>
            <a:ext uri="{FF2B5EF4-FFF2-40B4-BE49-F238E27FC236}">
              <a16:creationId xmlns:a16="http://schemas.microsoft.com/office/drawing/2014/main" id="{00000000-0008-0000-0300-000076000000}"/>
            </a:ext>
          </a:extLst>
        </xdr:cNvPr>
        <xdr:cNvSpPr/>
      </xdr:nvSpPr>
      <xdr:spPr>
        <a:xfrm>
          <a:off x="2304221" y="9592095"/>
          <a:ext cx="608358"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58</xdr:row>
      <xdr:rowOff>115963</xdr:rowOff>
    </xdr:from>
    <xdr:to>
      <xdr:col>3</xdr:col>
      <xdr:colOff>140804</xdr:colOff>
      <xdr:row>59</xdr:row>
      <xdr:rowOff>41419</xdr:rowOff>
    </xdr:to>
    <xdr:sp macro="" textlink="">
      <xdr:nvSpPr>
        <xdr:cNvPr id="119" name="Rounded Rectangle 118">
          <a:extLst>
            <a:ext uri="{FF2B5EF4-FFF2-40B4-BE49-F238E27FC236}">
              <a16:creationId xmlns:a16="http://schemas.microsoft.com/office/drawing/2014/main" id="{00000000-0008-0000-0300-000077000000}"/>
            </a:ext>
          </a:extLst>
        </xdr:cNvPr>
        <xdr:cNvSpPr/>
      </xdr:nvSpPr>
      <xdr:spPr>
        <a:xfrm>
          <a:off x="2304221" y="9812413"/>
          <a:ext cx="608358"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57</xdr:row>
      <xdr:rowOff>124245</xdr:rowOff>
    </xdr:from>
    <xdr:to>
      <xdr:col>2</xdr:col>
      <xdr:colOff>99391</xdr:colOff>
      <xdr:row>58</xdr:row>
      <xdr:rowOff>49702</xdr:rowOff>
    </xdr:to>
    <xdr:sp macro="" textlink="">
      <xdr:nvSpPr>
        <xdr:cNvPr id="120" name="Rounded Rectangle 119">
          <a:extLst>
            <a:ext uri="{FF2B5EF4-FFF2-40B4-BE49-F238E27FC236}">
              <a16:creationId xmlns:a16="http://schemas.microsoft.com/office/drawing/2014/main" id="{00000000-0008-0000-0300-000078000000}"/>
            </a:ext>
          </a:extLst>
        </xdr:cNvPr>
        <xdr:cNvSpPr/>
      </xdr:nvSpPr>
      <xdr:spPr>
        <a:xfrm>
          <a:off x="1284217" y="9592095"/>
          <a:ext cx="605874"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58</xdr:row>
      <xdr:rowOff>115963</xdr:rowOff>
    </xdr:from>
    <xdr:to>
      <xdr:col>2</xdr:col>
      <xdr:colOff>99391</xdr:colOff>
      <xdr:row>59</xdr:row>
      <xdr:rowOff>41419</xdr:rowOff>
    </xdr:to>
    <xdr:sp macro="" textlink="">
      <xdr:nvSpPr>
        <xdr:cNvPr id="121" name="Rounded Rectangle 120">
          <a:extLst>
            <a:ext uri="{FF2B5EF4-FFF2-40B4-BE49-F238E27FC236}">
              <a16:creationId xmlns:a16="http://schemas.microsoft.com/office/drawing/2014/main" id="{00000000-0008-0000-0300-000079000000}"/>
            </a:ext>
          </a:extLst>
        </xdr:cNvPr>
        <xdr:cNvSpPr/>
      </xdr:nvSpPr>
      <xdr:spPr>
        <a:xfrm>
          <a:off x="1284217" y="9812413"/>
          <a:ext cx="605874"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57</xdr:row>
      <xdr:rowOff>16572</xdr:rowOff>
    </xdr:from>
    <xdr:to>
      <xdr:col>6</xdr:col>
      <xdr:colOff>323023</xdr:colOff>
      <xdr:row>59</xdr:row>
      <xdr:rowOff>140811</xdr:rowOff>
    </xdr:to>
    <xdr:sp macro="" textlink="">
      <xdr:nvSpPr>
        <xdr:cNvPr id="122" name="Rounded Rectangle 121">
          <a:extLst>
            <a:ext uri="{FF2B5EF4-FFF2-40B4-BE49-F238E27FC236}">
              <a16:creationId xmlns:a16="http://schemas.microsoft.com/office/drawing/2014/main" id="{00000000-0008-0000-0300-00007A000000}"/>
            </a:ext>
          </a:extLst>
        </xdr:cNvPr>
        <xdr:cNvSpPr/>
      </xdr:nvSpPr>
      <xdr:spPr>
        <a:xfrm>
          <a:off x="977762" y="9484422"/>
          <a:ext cx="5517461" cy="581439"/>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55</xdr:row>
      <xdr:rowOff>91109</xdr:rowOff>
    </xdr:from>
    <xdr:to>
      <xdr:col>2</xdr:col>
      <xdr:colOff>571512</xdr:colOff>
      <xdr:row>56</xdr:row>
      <xdr:rowOff>132522</xdr:rowOff>
    </xdr:to>
    <xdr:sp macro="" textlink="">
      <xdr:nvSpPr>
        <xdr:cNvPr id="123" name="TextBox 122">
          <a:extLst>
            <a:ext uri="{FF2B5EF4-FFF2-40B4-BE49-F238E27FC236}">
              <a16:creationId xmlns:a16="http://schemas.microsoft.com/office/drawing/2014/main" id="{00000000-0008-0000-0300-00007B000000}"/>
            </a:ext>
          </a:extLst>
        </xdr:cNvPr>
        <xdr:cNvSpPr txBox="1"/>
      </xdr:nvSpPr>
      <xdr:spPr>
        <a:xfrm>
          <a:off x="911497" y="9101759"/>
          <a:ext cx="1450715"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55</xdr:row>
      <xdr:rowOff>91109</xdr:rowOff>
    </xdr:from>
    <xdr:to>
      <xdr:col>6</xdr:col>
      <xdr:colOff>397570</xdr:colOff>
      <xdr:row>56</xdr:row>
      <xdr:rowOff>132522</xdr:rowOff>
    </xdr:to>
    <xdr:sp macro="" textlink="">
      <xdr:nvSpPr>
        <xdr:cNvPr id="124" name="TextBox 123">
          <a:extLst>
            <a:ext uri="{FF2B5EF4-FFF2-40B4-BE49-F238E27FC236}">
              <a16:creationId xmlns:a16="http://schemas.microsoft.com/office/drawing/2014/main" id="{00000000-0008-0000-0300-00007C000000}"/>
            </a:ext>
          </a:extLst>
        </xdr:cNvPr>
        <xdr:cNvSpPr txBox="1"/>
      </xdr:nvSpPr>
      <xdr:spPr>
        <a:xfrm>
          <a:off x="5951471" y="9101759"/>
          <a:ext cx="618299"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57</xdr:row>
      <xdr:rowOff>124245</xdr:rowOff>
    </xdr:from>
    <xdr:to>
      <xdr:col>5</xdr:col>
      <xdr:colOff>1606825</xdr:colOff>
      <xdr:row>58</xdr:row>
      <xdr:rowOff>49702</xdr:rowOff>
    </xdr:to>
    <xdr:sp macro="" textlink="">
      <xdr:nvSpPr>
        <xdr:cNvPr id="125" name="Rounded Rectangle 124">
          <a:extLst>
            <a:ext uri="{FF2B5EF4-FFF2-40B4-BE49-F238E27FC236}">
              <a16:creationId xmlns:a16="http://schemas.microsoft.com/office/drawing/2014/main" id="{00000000-0008-0000-0300-00007D000000}"/>
            </a:ext>
          </a:extLst>
        </xdr:cNvPr>
        <xdr:cNvSpPr/>
      </xdr:nvSpPr>
      <xdr:spPr>
        <a:xfrm>
          <a:off x="5545619" y="9592095"/>
          <a:ext cx="604631"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58</xdr:row>
      <xdr:rowOff>115963</xdr:rowOff>
    </xdr:from>
    <xdr:to>
      <xdr:col>5</xdr:col>
      <xdr:colOff>1606825</xdr:colOff>
      <xdr:row>59</xdr:row>
      <xdr:rowOff>41419</xdr:rowOff>
    </xdr:to>
    <xdr:sp macro="" textlink="">
      <xdr:nvSpPr>
        <xdr:cNvPr id="126" name="Rounded Rectangle 125">
          <a:extLst>
            <a:ext uri="{FF2B5EF4-FFF2-40B4-BE49-F238E27FC236}">
              <a16:creationId xmlns:a16="http://schemas.microsoft.com/office/drawing/2014/main" id="{00000000-0008-0000-0300-00007E000000}"/>
            </a:ext>
          </a:extLst>
        </xdr:cNvPr>
        <xdr:cNvSpPr/>
      </xdr:nvSpPr>
      <xdr:spPr>
        <a:xfrm>
          <a:off x="5545619" y="9812413"/>
          <a:ext cx="604631"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843989</xdr:colOff>
      <xdr:row>65</xdr:row>
      <xdr:rowOff>123826</xdr:rowOff>
    </xdr:from>
    <xdr:to>
      <xdr:col>5</xdr:col>
      <xdr:colOff>571078</xdr:colOff>
      <xdr:row>66</xdr:row>
      <xdr:rowOff>165239</xdr:rowOff>
    </xdr:to>
    <xdr:sp macro="" textlink="">
      <xdr:nvSpPr>
        <xdr:cNvPr id="163" name="TextBox 162">
          <a:extLst>
            <a:ext uri="{FF2B5EF4-FFF2-40B4-BE49-F238E27FC236}">
              <a16:creationId xmlns:a16="http://schemas.microsoft.com/office/drawing/2014/main" id="{00000000-0008-0000-0300-0000A3000000}"/>
            </a:ext>
          </a:extLst>
        </xdr:cNvPr>
        <xdr:cNvSpPr txBox="1"/>
      </xdr:nvSpPr>
      <xdr:spPr>
        <a:xfrm>
          <a:off x="4501589" y="10182226"/>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4</xdr:col>
      <xdr:colOff>844402</xdr:colOff>
      <xdr:row>64</xdr:row>
      <xdr:rowOff>72886</xdr:rowOff>
    </xdr:from>
    <xdr:to>
      <xdr:col>5</xdr:col>
      <xdr:colOff>1019175</xdr:colOff>
      <xdr:row>65</xdr:row>
      <xdr:rowOff>114299</xdr:rowOff>
    </xdr:to>
    <xdr:sp macro="" textlink="">
      <xdr:nvSpPr>
        <xdr:cNvPr id="164" name="TextBox 163">
          <a:extLst>
            <a:ext uri="{FF2B5EF4-FFF2-40B4-BE49-F238E27FC236}">
              <a16:creationId xmlns:a16="http://schemas.microsoft.com/office/drawing/2014/main" id="{00000000-0008-0000-0300-0000A4000000}"/>
            </a:ext>
          </a:extLst>
        </xdr:cNvPr>
        <xdr:cNvSpPr txBox="1"/>
      </xdr:nvSpPr>
      <xdr:spPr>
        <a:xfrm>
          <a:off x="4502002" y="14036536"/>
          <a:ext cx="1060598"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4</xdr:col>
      <xdr:colOff>831989</xdr:colOff>
      <xdr:row>63</xdr:row>
      <xdr:rowOff>38105</xdr:rowOff>
    </xdr:from>
    <xdr:to>
      <xdr:col>5</xdr:col>
      <xdr:colOff>409990</xdr:colOff>
      <xdr:row>64</xdr:row>
      <xdr:rowOff>76204</xdr:rowOff>
    </xdr:to>
    <xdr:sp macro="" textlink="">
      <xdr:nvSpPr>
        <xdr:cNvPr id="165" name="TextBox 164">
          <a:extLst>
            <a:ext uri="{FF2B5EF4-FFF2-40B4-BE49-F238E27FC236}">
              <a16:creationId xmlns:a16="http://schemas.microsoft.com/office/drawing/2014/main" id="{00000000-0008-0000-0300-0000A5000000}"/>
            </a:ext>
          </a:extLst>
        </xdr:cNvPr>
        <xdr:cNvSpPr txBox="1"/>
      </xdr:nvSpPr>
      <xdr:spPr>
        <a:xfrm>
          <a:off x="4489589" y="9639305"/>
          <a:ext cx="463826" cy="2666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2</xdr:col>
      <xdr:colOff>953734</xdr:colOff>
      <xdr:row>64</xdr:row>
      <xdr:rowOff>56315</xdr:rowOff>
    </xdr:from>
    <xdr:to>
      <xdr:col>3</xdr:col>
      <xdr:colOff>571501</xdr:colOff>
      <xdr:row>65</xdr:row>
      <xdr:rowOff>97728</xdr:rowOff>
    </xdr:to>
    <xdr:sp macro="" textlink="">
      <xdr:nvSpPr>
        <xdr:cNvPr id="166" name="TextBox 165">
          <a:extLst>
            <a:ext uri="{FF2B5EF4-FFF2-40B4-BE49-F238E27FC236}">
              <a16:creationId xmlns:a16="http://schemas.microsoft.com/office/drawing/2014/main" id="{00000000-0008-0000-0300-0000A6000000}"/>
            </a:ext>
          </a:extLst>
        </xdr:cNvPr>
        <xdr:cNvSpPr txBox="1"/>
      </xdr:nvSpPr>
      <xdr:spPr>
        <a:xfrm>
          <a:off x="2744434" y="14019965"/>
          <a:ext cx="598842"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2</xdr:col>
      <xdr:colOff>955817</xdr:colOff>
      <xdr:row>63</xdr:row>
      <xdr:rowOff>67922</xdr:rowOff>
    </xdr:from>
    <xdr:to>
      <xdr:col>3</xdr:col>
      <xdr:colOff>438568</xdr:colOff>
      <xdr:row>64</xdr:row>
      <xdr:rowOff>109334</xdr:rowOff>
    </xdr:to>
    <xdr:sp macro="" textlink="">
      <xdr:nvSpPr>
        <xdr:cNvPr id="167" name="TextBox 166">
          <a:extLst>
            <a:ext uri="{FF2B5EF4-FFF2-40B4-BE49-F238E27FC236}">
              <a16:creationId xmlns:a16="http://schemas.microsoft.com/office/drawing/2014/main" id="{00000000-0008-0000-0300-0000A7000000}"/>
            </a:ext>
          </a:extLst>
        </xdr:cNvPr>
        <xdr:cNvSpPr txBox="1"/>
      </xdr:nvSpPr>
      <xdr:spPr>
        <a:xfrm>
          <a:off x="2746517" y="9669122"/>
          <a:ext cx="463826" cy="270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2</xdr:col>
      <xdr:colOff>957049</xdr:colOff>
      <xdr:row>65</xdr:row>
      <xdr:rowOff>82410</xdr:rowOff>
    </xdr:from>
    <xdr:to>
      <xdr:col>3</xdr:col>
      <xdr:colOff>588888</xdr:colOff>
      <xdr:row>66</xdr:row>
      <xdr:rowOff>123823</xdr:rowOff>
    </xdr:to>
    <xdr:sp macro="" textlink="">
      <xdr:nvSpPr>
        <xdr:cNvPr id="168" name="TextBox 167">
          <a:extLst>
            <a:ext uri="{FF2B5EF4-FFF2-40B4-BE49-F238E27FC236}">
              <a16:creationId xmlns:a16="http://schemas.microsoft.com/office/drawing/2014/main" id="{00000000-0008-0000-0300-0000A8000000}"/>
            </a:ext>
          </a:extLst>
        </xdr:cNvPr>
        <xdr:cNvSpPr txBox="1"/>
      </xdr:nvSpPr>
      <xdr:spPr>
        <a:xfrm>
          <a:off x="2747749" y="10140810"/>
          <a:ext cx="612914" cy="2700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4</xdr:col>
      <xdr:colOff>160476</xdr:colOff>
      <xdr:row>67</xdr:row>
      <xdr:rowOff>80140</xdr:rowOff>
    </xdr:from>
    <xdr:to>
      <xdr:col>4</xdr:col>
      <xdr:colOff>314533</xdr:colOff>
      <xdr:row>69</xdr:row>
      <xdr:rowOff>227157</xdr:rowOff>
    </xdr:to>
    <xdr:sp macro="" textlink="">
      <xdr:nvSpPr>
        <xdr:cNvPr id="173" name="Rounded Rectangle 172">
          <a:extLst>
            <a:ext uri="{FF2B5EF4-FFF2-40B4-BE49-F238E27FC236}">
              <a16:creationId xmlns:a16="http://schemas.microsoft.com/office/drawing/2014/main" id="{00000000-0008-0000-0300-0000AD000000}"/>
            </a:ext>
          </a:extLst>
        </xdr:cNvPr>
        <xdr:cNvSpPr/>
      </xdr:nvSpPr>
      <xdr:spPr>
        <a:xfrm rot="16200000">
          <a:off x="3592996" y="15411870"/>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543549</xdr:colOff>
      <xdr:row>67</xdr:row>
      <xdr:rowOff>70616</xdr:rowOff>
    </xdr:from>
    <xdr:to>
      <xdr:col>4</xdr:col>
      <xdr:colOff>697606</xdr:colOff>
      <xdr:row>69</xdr:row>
      <xdr:rowOff>217632</xdr:rowOff>
    </xdr:to>
    <xdr:sp macro="" textlink="">
      <xdr:nvSpPr>
        <xdr:cNvPr id="175" name="Rounded Rectangle 174">
          <a:extLst>
            <a:ext uri="{FF2B5EF4-FFF2-40B4-BE49-F238E27FC236}">
              <a16:creationId xmlns:a16="http://schemas.microsoft.com/office/drawing/2014/main" id="{00000000-0008-0000-0300-0000AF000000}"/>
            </a:ext>
          </a:extLst>
        </xdr:cNvPr>
        <xdr:cNvSpPr/>
      </xdr:nvSpPr>
      <xdr:spPr>
        <a:xfrm rot="16200000">
          <a:off x="3976070" y="15402345"/>
          <a:ext cx="604216"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47624</xdr:colOff>
      <xdr:row>62</xdr:row>
      <xdr:rowOff>95250</xdr:rowOff>
    </xdr:from>
    <xdr:to>
      <xdr:col>5</xdr:col>
      <xdr:colOff>1438275</xdr:colOff>
      <xdr:row>70</xdr:row>
      <xdr:rowOff>140811</xdr:rowOff>
    </xdr:to>
    <xdr:sp macro="" textlink="">
      <xdr:nvSpPr>
        <xdr:cNvPr id="181" name="Rounded Rectangle 180">
          <a:extLst>
            <a:ext uri="{FF2B5EF4-FFF2-40B4-BE49-F238E27FC236}">
              <a16:creationId xmlns:a16="http://schemas.microsoft.com/office/drawing/2014/main" id="{00000000-0008-0000-0300-0000B5000000}"/>
            </a:ext>
          </a:extLst>
        </xdr:cNvPr>
        <xdr:cNvSpPr/>
      </xdr:nvSpPr>
      <xdr:spPr>
        <a:xfrm>
          <a:off x="1838324" y="8420100"/>
          <a:ext cx="4143376" cy="3379311"/>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335446</xdr:colOff>
      <xdr:row>39</xdr:row>
      <xdr:rowOff>178490</xdr:rowOff>
    </xdr:from>
    <xdr:to>
      <xdr:col>2</xdr:col>
      <xdr:colOff>939663</xdr:colOff>
      <xdr:row>40</xdr:row>
      <xdr:rowOff>103946</xdr:rowOff>
    </xdr:to>
    <xdr:sp macro="" textlink="">
      <xdr:nvSpPr>
        <xdr:cNvPr id="127" name="Rounded Rectangle 126">
          <a:extLst>
            <a:ext uri="{FF2B5EF4-FFF2-40B4-BE49-F238E27FC236}">
              <a16:creationId xmlns:a16="http://schemas.microsoft.com/office/drawing/2014/main" id="{00000000-0008-0000-0300-00007F000000}"/>
            </a:ext>
          </a:extLst>
        </xdr:cNvPr>
        <xdr:cNvSpPr/>
      </xdr:nvSpPr>
      <xdr:spPr>
        <a:xfrm>
          <a:off x="2126146" y="8408090"/>
          <a:ext cx="604217"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342071</xdr:colOff>
      <xdr:row>38</xdr:row>
      <xdr:rowOff>188015</xdr:rowOff>
    </xdr:from>
    <xdr:to>
      <xdr:col>2</xdr:col>
      <xdr:colOff>950429</xdr:colOff>
      <xdr:row>39</xdr:row>
      <xdr:rowOff>113471</xdr:rowOff>
    </xdr:to>
    <xdr:sp macro="" textlink="">
      <xdr:nvSpPr>
        <xdr:cNvPr id="128" name="Rounded Rectangle 127">
          <a:extLst>
            <a:ext uri="{FF2B5EF4-FFF2-40B4-BE49-F238E27FC236}">
              <a16:creationId xmlns:a16="http://schemas.microsoft.com/office/drawing/2014/main" id="{00000000-0008-0000-0300-000080000000}"/>
            </a:ext>
          </a:extLst>
        </xdr:cNvPr>
        <xdr:cNvSpPr/>
      </xdr:nvSpPr>
      <xdr:spPr>
        <a:xfrm>
          <a:off x="2132771" y="8189015"/>
          <a:ext cx="608358"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551621</xdr:colOff>
      <xdr:row>38</xdr:row>
      <xdr:rowOff>188015</xdr:rowOff>
    </xdr:from>
    <xdr:to>
      <xdr:col>5</xdr:col>
      <xdr:colOff>1159979</xdr:colOff>
      <xdr:row>39</xdr:row>
      <xdr:rowOff>113471</xdr:rowOff>
    </xdr:to>
    <xdr:sp macro="" textlink="">
      <xdr:nvSpPr>
        <xdr:cNvPr id="129" name="Rounded Rectangle 128">
          <a:extLst>
            <a:ext uri="{FF2B5EF4-FFF2-40B4-BE49-F238E27FC236}">
              <a16:creationId xmlns:a16="http://schemas.microsoft.com/office/drawing/2014/main" id="{00000000-0008-0000-0300-000081000000}"/>
            </a:ext>
          </a:extLst>
        </xdr:cNvPr>
        <xdr:cNvSpPr/>
      </xdr:nvSpPr>
      <xdr:spPr>
        <a:xfrm>
          <a:off x="5095046" y="8189015"/>
          <a:ext cx="608358" cy="154056"/>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554521</xdr:colOff>
      <xdr:row>39</xdr:row>
      <xdr:rowOff>188015</xdr:rowOff>
    </xdr:from>
    <xdr:to>
      <xdr:col>5</xdr:col>
      <xdr:colOff>1158738</xdr:colOff>
      <xdr:row>40</xdr:row>
      <xdr:rowOff>113471</xdr:rowOff>
    </xdr:to>
    <xdr:sp macro="" textlink="">
      <xdr:nvSpPr>
        <xdr:cNvPr id="130" name="Rounded Rectangle 129">
          <a:extLst>
            <a:ext uri="{FF2B5EF4-FFF2-40B4-BE49-F238E27FC236}">
              <a16:creationId xmlns:a16="http://schemas.microsoft.com/office/drawing/2014/main" id="{00000000-0008-0000-0300-000082000000}"/>
            </a:ext>
          </a:extLst>
        </xdr:cNvPr>
        <xdr:cNvSpPr/>
      </xdr:nvSpPr>
      <xdr:spPr>
        <a:xfrm>
          <a:off x="5097946" y="8417615"/>
          <a:ext cx="604217" cy="154056"/>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676901</xdr:colOff>
      <xdr:row>67</xdr:row>
      <xdr:rowOff>80141</xdr:rowOff>
    </xdr:from>
    <xdr:to>
      <xdr:col>3</xdr:col>
      <xdr:colOff>830958</xdr:colOff>
      <xdr:row>69</xdr:row>
      <xdr:rowOff>227157</xdr:rowOff>
    </xdr:to>
    <xdr:sp macro="" textlink="">
      <xdr:nvSpPr>
        <xdr:cNvPr id="131" name="Rounded Rectangle 130">
          <a:extLst>
            <a:ext uri="{FF2B5EF4-FFF2-40B4-BE49-F238E27FC236}">
              <a16:creationId xmlns:a16="http://schemas.microsoft.com/office/drawing/2014/main" id="{00000000-0008-0000-0300-000083000000}"/>
            </a:ext>
          </a:extLst>
        </xdr:cNvPr>
        <xdr:cNvSpPr/>
      </xdr:nvSpPr>
      <xdr:spPr>
        <a:xfrm rot="16200000">
          <a:off x="3223597" y="15411870"/>
          <a:ext cx="604216"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312876</xdr:colOff>
      <xdr:row>67</xdr:row>
      <xdr:rowOff>42040</xdr:rowOff>
    </xdr:from>
    <xdr:to>
      <xdr:col>3</xdr:col>
      <xdr:colOff>466933</xdr:colOff>
      <xdr:row>69</xdr:row>
      <xdr:rowOff>189057</xdr:rowOff>
    </xdr:to>
    <xdr:sp macro="" textlink="">
      <xdr:nvSpPr>
        <xdr:cNvPr id="132" name="Rounded Rectangle 131">
          <a:extLst>
            <a:ext uri="{FF2B5EF4-FFF2-40B4-BE49-F238E27FC236}">
              <a16:creationId xmlns:a16="http://schemas.microsoft.com/office/drawing/2014/main" id="{00000000-0008-0000-0300-000084000000}"/>
            </a:ext>
          </a:extLst>
        </xdr:cNvPr>
        <xdr:cNvSpPr/>
      </xdr:nvSpPr>
      <xdr:spPr>
        <a:xfrm rot="16200000">
          <a:off x="2859571" y="15373770"/>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36651</xdr:colOff>
      <xdr:row>67</xdr:row>
      <xdr:rowOff>51565</xdr:rowOff>
    </xdr:from>
    <xdr:to>
      <xdr:col>5</xdr:col>
      <xdr:colOff>190708</xdr:colOff>
      <xdr:row>69</xdr:row>
      <xdr:rowOff>198582</xdr:rowOff>
    </xdr:to>
    <xdr:sp macro="" textlink="">
      <xdr:nvSpPr>
        <xdr:cNvPr id="133" name="Rounded Rectangle 132">
          <a:extLst>
            <a:ext uri="{FF2B5EF4-FFF2-40B4-BE49-F238E27FC236}">
              <a16:creationId xmlns:a16="http://schemas.microsoft.com/office/drawing/2014/main" id="{00000000-0008-0000-0300-000085000000}"/>
            </a:ext>
          </a:extLst>
        </xdr:cNvPr>
        <xdr:cNvSpPr/>
      </xdr:nvSpPr>
      <xdr:spPr>
        <a:xfrm rot="16200000">
          <a:off x="4354996" y="15383295"/>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934077</xdr:colOff>
      <xdr:row>66</xdr:row>
      <xdr:rowOff>223016</xdr:rowOff>
    </xdr:from>
    <xdr:to>
      <xdr:col>3</xdr:col>
      <xdr:colOff>107059</xdr:colOff>
      <xdr:row>69</xdr:row>
      <xdr:rowOff>141432</xdr:rowOff>
    </xdr:to>
    <xdr:sp macro="" textlink="">
      <xdr:nvSpPr>
        <xdr:cNvPr id="134" name="Rounded Rectangle 133">
          <a:extLst>
            <a:ext uri="{FF2B5EF4-FFF2-40B4-BE49-F238E27FC236}">
              <a16:creationId xmlns:a16="http://schemas.microsoft.com/office/drawing/2014/main" id="{00000000-0008-0000-0300-000086000000}"/>
            </a:ext>
          </a:extLst>
        </xdr:cNvPr>
        <xdr:cNvSpPr/>
      </xdr:nvSpPr>
      <xdr:spPr>
        <a:xfrm rot="16200000">
          <a:off x="2499698" y="15326145"/>
          <a:ext cx="604216"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419726</xdr:colOff>
      <xdr:row>66</xdr:row>
      <xdr:rowOff>223016</xdr:rowOff>
    </xdr:from>
    <xdr:to>
      <xdr:col>5</xdr:col>
      <xdr:colOff>573783</xdr:colOff>
      <xdr:row>69</xdr:row>
      <xdr:rowOff>141432</xdr:rowOff>
    </xdr:to>
    <xdr:sp macro="" textlink="">
      <xdr:nvSpPr>
        <xdr:cNvPr id="135" name="Rounded Rectangle 134">
          <a:extLst>
            <a:ext uri="{FF2B5EF4-FFF2-40B4-BE49-F238E27FC236}">
              <a16:creationId xmlns:a16="http://schemas.microsoft.com/office/drawing/2014/main" id="{00000000-0008-0000-0300-000087000000}"/>
            </a:ext>
          </a:extLst>
        </xdr:cNvPr>
        <xdr:cNvSpPr/>
      </xdr:nvSpPr>
      <xdr:spPr>
        <a:xfrm rot="16200000">
          <a:off x="4738072" y="15326145"/>
          <a:ext cx="604216" cy="154057"/>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570051</xdr:colOff>
      <xdr:row>66</xdr:row>
      <xdr:rowOff>70615</xdr:rowOff>
    </xdr:from>
    <xdr:to>
      <xdr:col>2</xdr:col>
      <xdr:colOff>724108</xdr:colOff>
      <xdr:row>68</xdr:row>
      <xdr:rowOff>217632</xdr:rowOff>
    </xdr:to>
    <xdr:sp macro="" textlink="">
      <xdr:nvSpPr>
        <xdr:cNvPr id="136" name="Rounded Rectangle 135">
          <a:extLst>
            <a:ext uri="{FF2B5EF4-FFF2-40B4-BE49-F238E27FC236}">
              <a16:creationId xmlns:a16="http://schemas.microsoft.com/office/drawing/2014/main" id="{00000000-0008-0000-0300-000088000000}"/>
            </a:ext>
          </a:extLst>
        </xdr:cNvPr>
        <xdr:cNvSpPr/>
      </xdr:nvSpPr>
      <xdr:spPr>
        <a:xfrm rot="16200000">
          <a:off x="2135671" y="15173745"/>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760551</xdr:colOff>
      <xdr:row>66</xdr:row>
      <xdr:rowOff>61090</xdr:rowOff>
    </xdr:from>
    <xdr:to>
      <xdr:col>5</xdr:col>
      <xdr:colOff>914608</xdr:colOff>
      <xdr:row>68</xdr:row>
      <xdr:rowOff>208107</xdr:rowOff>
    </xdr:to>
    <xdr:sp macro="" textlink="">
      <xdr:nvSpPr>
        <xdr:cNvPr id="137" name="Rounded Rectangle 136">
          <a:extLst>
            <a:ext uri="{FF2B5EF4-FFF2-40B4-BE49-F238E27FC236}">
              <a16:creationId xmlns:a16="http://schemas.microsoft.com/office/drawing/2014/main" id="{00000000-0008-0000-0300-000089000000}"/>
            </a:ext>
          </a:extLst>
        </xdr:cNvPr>
        <xdr:cNvSpPr/>
      </xdr:nvSpPr>
      <xdr:spPr>
        <a:xfrm rot="16200000">
          <a:off x="5078896" y="15164220"/>
          <a:ext cx="604217" cy="154057"/>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43542</xdr:colOff>
      <xdr:row>23</xdr:row>
      <xdr:rowOff>21771</xdr:rowOff>
    </xdr:from>
    <xdr:to>
      <xdr:col>8</xdr:col>
      <xdr:colOff>1704461</xdr:colOff>
      <xdr:row>32</xdr:row>
      <xdr:rowOff>139881</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7255328" y="4566557"/>
          <a:ext cx="2158940" cy="2200003"/>
          <a:chOff x="7674429" y="4767943"/>
          <a:chExt cx="2194319" cy="2175510"/>
        </a:xfrm>
      </xdr:grpSpPr>
      <xdr:sp macro="" textlink="">
        <xdr:nvSpPr>
          <xdr:cNvPr id="3" name="Oval 2">
            <a:extLst>
              <a:ext uri="{FF2B5EF4-FFF2-40B4-BE49-F238E27FC236}">
                <a16:creationId xmlns:a16="http://schemas.microsoft.com/office/drawing/2014/main" id="{00000000-0008-0000-0300-000003000000}"/>
              </a:ext>
            </a:extLst>
          </xdr:cNvPr>
          <xdr:cNvSpPr/>
        </xdr:nvSpPr>
        <xdr:spPr>
          <a:xfrm>
            <a:off x="7674429" y="4767943"/>
            <a:ext cx="2194319" cy="217551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4" name="Trapezoid 3">
            <a:extLst>
              <a:ext uri="{FF2B5EF4-FFF2-40B4-BE49-F238E27FC236}">
                <a16:creationId xmlns:a16="http://schemas.microsoft.com/office/drawing/2014/main" id="{00000000-0008-0000-0300-000004000000}"/>
              </a:ext>
            </a:extLst>
          </xdr:cNvPr>
          <xdr:cNvSpPr/>
        </xdr:nvSpPr>
        <xdr:spPr>
          <a:xfrm rot="2700000">
            <a:off x="7895924" y="6036763"/>
            <a:ext cx="753861" cy="574889"/>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6" name="Trapezoid 5">
            <a:extLst>
              <a:ext uri="{FF2B5EF4-FFF2-40B4-BE49-F238E27FC236}">
                <a16:creationId xmlns:a16="http://schemas.microsoft.com/office/drawing/2014/main" id="{00000000-0008-0000-0300-000006000000}"/>
              </a:ext>
            </a:extLst>
          </xdr:cNvPr>
          <xdr:cNvSpPr/>
        </xdr:nvSpPr>
        <xdr:spPr>
          <a:xfrm>
            <a:off x="8408968" y="6250535"/>
            <a:ext cx="740716" cy="5403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7" name="Trapezoid 6">
            <a:extLst>
              <a:ext uri="{FF2B5EF4-FFF2-40B4-BE49-F238E27FC236}">
                <a16:creationId xmlns:a16="http://schemas.microsoft.com/office/drawing/2014/main" id="{00000000-0008-0000-0300-000007000000}"/>
              </a:ext>
            </a:extLst>
          </xdr:cNvPr>
          <xdr:cNvSpPr/>
        </xdr:nvSpPr>
        <xdr:spPr>
          <a:xfrm rot="18900000">
            <a:off x="8884235" y="6065139"/>
            <a:ext cx="754063" cy="53841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1</xdr:col>
      <xdr:colOff>895350</xdr:colOff>
      <xdr:row>2</xdr:row>
      <xdr:rowOff>229362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5250"/>
          <a:ext cx="2739390" cy="648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762001</xdr:colOff>
          <xdr:row>8</xdr:row>
          <xdr:rowOff>38100</xdr:rowOff>
        </xdr:from>
        <xdr:to>
          <xdr:col>3</xdr:col>
          <xdr:colOff>401956</xdr:colOff>
          <xdr:row>13</xdr:row>
          <xdr:rowOff>131444</xdr:rowOff>
        </xdr:to>
        <xdr:pic>
          <xdr:nvPicPr>
            <xdr:cNvPr id="7" name="Picture 6">
              <a:extLst>
                <a:ext uri="{FF2B5EF4-FFF2-40B4-BE49-F238E27FC236}">
                  <a16:creationId xmlns:a16="http://schemas.microsoft.com/office/drawing/2014/main" id="{00000000-0008-0000-0400-000007000000}"/>
                </a:ext>
              </a:extLst>
            </xdr:cNvPr>
            <xdr:cNvPicPr>
              <a:picLocks noChangeAspect="1"/>
              <a:extLst>
                <a:ext uri="{84589F7E-364E-4C9E-8A38-B11213B215E9}">
                  <a14:cameraTool cellRange="G1_Picture" spid="_x0000_s4372"/>
                </a:ext>
              </a:extLst>
            </xdr:cNvPicPr>
          </xdr:nvPicPr>
          <xdr:blipFill>
            <a:blip xmlns:r="http://schemas.openxmlformats.org/officeDocument/2006/relationships" r:embed="rId2"/>
            <a:stretch>
              <a:fillRect/>
            </a:stretch>
          </xdr:blipFill>
          <xdr:spPr>
            <a:xfrm>
              <a:off x="762001" y="1666875"/>
              <a:ext cx="4248150" cy="914399"/>
            </a:xfrm>
            <a:prstGeom prst="rect">
              <a:avLst/>
            </a:prstGeom>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1</xdr:col>
      <xdr:colOff>662940</xdr:colOff>
      <xdr:row>2</xdr:row>
      <xdr:rowOff>208407</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5725"/>
          <a:ext cx="2739390" cy="648462"/>
        </a:xfrm>
        <a:prstGeom prst="rect">
          <a:avLst/>
        </a:prstGeom>
      </xdr:spPr>
    </xdr:pic>
    <xdr:clientData/>
  </xdr:twoCellAnchor>
  <xdr:twoCellAnchor editAs="oneCell">
    <xdr:from>
      <xdr:col>0</xdr:col>
      <xdr:colOff>0</xdr:colOff>
      <xdr:row>9</xdr:row>
      <xdr:rowOff>17145</xdr:rowOff>
    </xdr:from>
    <xdr:to>
      <xdr:col>3</xdr:col>
      <xdr:colOff>135255</xdr:colOff>
      <xdr:row>12</xdr:row>
      <xdr:rowOff>243840</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hidden="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76425"/>
          <a:ext cx="5998998" cy="10648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1009650</xdr:colOff>
          <xdr:row>9</xdr:row>
          <xdr:rowOff>85725</xdr:rowOff>
        </xdr:from>
        <xdr:to>
          <xdr:col>2</xdr:col>
          <xdr:colOff>1539240</xdr:colOff>
          <xdr:row>12</xdr:row>
          <xdr:rowOff>304800</xdr:rowOff>
        </xdr:to>
        <xdr:pic>
          <xdr:nvPicPr>
            <xdr:cNvPr id="5" name="Picture 4" hidden="1">
              <a:extLst>
                <a:ext uri="{FF2B5EF4-FFF2-40B4-BE49-F238E27FC236}">
                  <a16:creationId xmlns:a16="http://schemas.microsoft.com/office/drawing/2014/main" id="{00000000-0008-0000-0500-000005000000}"/>
                </a:ext>
              </a:extLst>
            </xdr:cNvPr>
            <xdr:cNvPicPr>
              <a:picLocks noChangeAspect="1" noChangeArrowheads="1"/>
              <a:extLst>
                <a:ext uri="{84589F7E-364E-4C9E-8A38-B11213B215E9}">
                  <a14:cameraTool cellRange="Picture_2" spid="_x0000_s21906"/>
                </a:ext>
              </a:extLst>
            </xdr:cNvPicPr>
          </xdr:nvPicPr>
          <xdr:blipFill>
            <a:blip xmlns:r="http://schemas.openxmlformats.org/officeDocument/2006/relationships" r:embed="rId4"/>
            <a:srcRect/>
            <a:stretch>
              <a:fillRect/>
            </a:stretch>
          </xdr:blipFill>
          <xdr:spPr bwMode="auto">
            <a:xfrm>
              <a:off x="1009650" y="1962150"/>
              <a:ext cx="4495800" cy="10572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722296</xdr:colOff>
          <xdr:row>9</xdr:row>
          <xdr:rowOff>104775</xdr:rowOff>
        </xdr:from>
        <xdr:to>
          <xdr:col>2</xdr:col>
          <xdr:colOff>1314450</xdr:colOff>
          <xdr:row>12</xdr:row>
          <xdr:rowOff>323850</xdr:rowOff>
        </xdr:to>
        <xdr:pic>
          <xdr:nvPicPr>
            <xdr:cNvPr id="2" name="Picture 1" hidden="1">
              <a:extLst>
                <a:ext uri="{FF2B5EF4-FFF2-40B4-BE49-F238E27FC236}">
                  <a16:creationId xmlns:a16="http://schemas.microsoft.com/office/drawing/2014/main" id="{00000000-0008-0000-0500-000002000000}"/>
                </a:ext>
              </a:extLst>
            </xdr:cNvPr>
            <xdr:cNvPicPr>
              <a:picLocks noChangeAspect="1"/>
              <a:extLst>
                <a:ext uri="{84589F7E-364E-4C9E-8A38-B11213B215E9}">
                  <a14:cameraTool cellRange="G1_Picture" spid="_x0000_s21907"/>
                </a:ext>
              </a:extLst>
            </xdr:cNvPicPr>
          </xdr:nvPicPr>
          <xdr:blipFill>
            <a:blip xmlns:r="http://schemas.openxmlformats.org/officeDocument/2006/relationships" r:embed="rId4"/>
            <a:stretch>
              <a:fillRect/>
            </a:stretch>
          </xdr:blipFill>
          <xdr:spPr>
            <a:xfrm>
              <a:off x="722296" y="1981200"/>
              <a:ext cx="4564079" cy="105727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714374</xdr:colOff>
          <xdr:row>9</xdr:row>
          <xdr:rowOff>133350</xdr:rowOff>
        </xdr:from>
        <xdr:to>
          <xdr:col>2</xdr:col>
          <xdr:colOff>1234440</xdr:colOff>
          <xdr:row>12</xdr:row>
          <xdr:rowOff>342900</xdr:rowOff>
        </xdr:to>
        <xdr:pic>
          <xdr:nvPicPr>
            <xdr:cNvPr id="4" name="Picture 3" hidden="1">
              <a:extLst>
                <a:ext uri="{FF2B5EF4-FFF2-40B4-BE49-F238E27FC236}">
                  <a16:creationId xmlns:a16="http://schemas.microsoft.com/office/drawing/2014/main" id="{00000000-0008-0000-0500-000004000000}"/>
                </a:ext>
              </a:extLst>
            </xdr:cNvPr>
            <xdr:cNvPicPr>
              <a:picLocks noChangeAspect="1"/>
              <a:extLst>
                <a:ext uri="{84589F7E-364E-4C9E-8A38-B11213B215E9}">
                  <a14:cameraTool cellRange="G1_Picture" spid="_x0000_s21908"/>
                </a:ext>
              </a:extLst>
            </xdr:cNvPicPr>
          </xdr:nvPicPr>
          <xdr:blipFill>
            <a:blip xmlns:r="http://schemas.openxmlformats.org/officeDocument/2006/relationships" r:embed="rId4"/>
            <a:stretch>
              <a:fillRect/>
            </a:stretch>
          </xdr:blipFill>
          <xdr:spPr>
            <a:xfrm>
              <a:off x="714374" y="2009775"/>
              <a:ext cx="4486276" cy="10477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1219199</xdr:colOff>
          <xdr:row>9</xdr:row>
          <xdr:rowOff>152401</xdr:rowOff>
        </xdr:from>
        <xdr:to>
          <xdr:col>2</xdr:col>
          <xdr:colOff>1295400</xdr:colOff>
          <xdr:row>12</xdr:row>
          <xdr:rowOff>171450</xdr:rowOff>
        </xdr:to>
        <xdr:pic>
          <xdr:nvPicPr>
            <xdr:cNvPr id="6" name="Picture 5" hidden="1">
              <a:extLst>
                <a:ext uri="{FF2B5EF4-FFF2-40B4-BE49-F238E27FC236}">
                  <a16:creationId xmlns:a16="http://schemas.microsoft.com/office/drawing/2014/main" id="{00000000-0008-0000-0500-000006000000}"/>
                </a:ext>
              </a:extLst>
            </xdr:cNvPr>
            <xdr:cNvPicPr>
              <a:picLocks noChangeAspect="1"/>
              <a:extLst>
                <a:ext uri="{84589F7E-364E-4C9E-8A38-B11213B215E9}">
                  <a14:cameraTool cellRange="G1_Picture" spid="_x0000_s21909"/>
                </a:ext>
              </a:extLst>
            </xdr:cNvPicPr>
          </xdr:nvPicPr>
          <xdr:blipFill>
            <a:blip xmlns:r="http://schemas.openxmlformats.org/officeDocument/2006/relationships" r:embed="rId4"/>
            <a:stretch>
              <a:fillRect/>
            </a:stretch>
          </xdr:blipFill>
          <xdr:spPr>
            <a:xfrm>
              <a:off x="1219199" y="2028826"/>
              <a:ext cx="4048126" cy="857249"/>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1171575</xdr:colOff>
          <xdr:row>9</xdr:row>
          <xdr:rowOff>133350</xdr:rowOff>
        </xdr:from>
        <xdr:to>
          <xdr:col>2</xdr:col>
          <xdr:colOff>1143000</xdr:colOff>
          <xdr:row>12</xdr:row>
          <xdr:rowOff>247649</xdr:rowOff>
        </xdr:to>
        <xdr:pic>
          <xdr:nvPicPr>
            <xdr:cNvPr id="11" name="Picture 10" hidden="1">
              <a:extLst>
                <a:ext uri="{FF2B5EF4-FFF2-40B4-BE49-F238E27FC236}">
                  <a16:creationId xmlns:a16="http://schemas.microsoft.com/office/drawing/2014/main" id="{00000000-0008-0000-0500-00000B000000}"/>
                </a:ext>
              </a:extLst>
            </xdr:cNvPr>
            <xdr:cNvPicPr>
              <a:picLocks noChangeAspect="1"/>
              <a:extLst>
                <a:ext uri="{84589F7E-364E-4C9E-8A38-B11213B215E9}">
                  <a14:cameraTool cellRange="G1_Picture" spid="_x0000_s21910"/>
                </a:ext>
              </a:extLst>
            </xdr:cNvPicPr>
          </xdr:nvPicPr>
          <xdr:blipFill>
            <a:blip xmlns:r="http://schemas.openxmlformats.org/officeDocument/2006/relationships" r:embed="rId4"/>
            <a:stretch>
              <a:fillRect/>
            </a:stretch>
          </xdr:blipFill>
          <xdr:spPr>
            <a:xfrm>
              <a:off x="1171575" y="2009775"/>
              <a:ext cx="3943350" cy="952499"/>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3</xdr:col>
          <xdr:colOff>171450</xdr:colOff>
          <xdr:row>12</xdr:row>
          <xdr:rowOff>167640</xdr:rowOff>
        </xdr:to>
        <xdr:pic>
          <xdr:nvPicPr>
            <xdr:cNvPr id="16" name="Picture 15" hidden="1">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G1'!$A$9" spid="_x0000_s21911"/>
                </a:ext>
              </a:extLst>
            </xdr:cNvPicPr>
          </xdr:nvPicPr>
          <xdr:blipFill>
            <a:blip xmlns:r="http://schemas.openxmlformats.org/officeDocument/2006/relationships" r:embed="rId5"/>
            <a:srcRect/>
            <a:stretch>
              <a:fillRect/>
            </a:stretch>
          </xdr:blipFill>
          <xdr:spPr bwMode="auto">
            <a:xfrm>
              <a:off x="0" y="1876425"/>
              <a:ext cx="5695950" cy="10001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1009649</xdr:colOff>
          <xdr:row>9</xdr:row>
          <xdr:rowOff>114300</xdr:rowOff>
        </xdr:from>
        <xdr:to>
          <xdr:col>2</xdr:col>
          <xdr:colOff>1085849</xdr:colOff>
          <xdr:row>12</xdr:row>
          <xdr:rowOff>284480</xdr:rowOff>
        </xdr:to>
        <xdr:pic>
          <xdr:nvPicPr>
            <xdr:cNvPr id="19" name="Picture 18" hidden="1">
              <a:extLst>
                <a:ext uri="{FF2B5EF4-FFF2-40B4-BE49-F238E27FC236}">
                  <a16:creationId xmlns:a16="http://schemas.microsoft.com/office/drawing/2014/main" id="{00000000-0008-0000-0500-000013000000}"/>
                </a:ext>
              </a:extLst>
            </xdr:cNvPr>
            <xdr:cNvPicPr>
              <a:picLocks noChangeAspect="1"/>
              <a:extLst>
                <a:ext uri="{84589F7E-364E-4C9E-8A38-B11213B215E9}">
                  <a14:cameraTool cellRange="G1_Picture" spid="_x0000_s21912"/>
                </a:ext>
              </a:extLst>
            </xdr:cNvPicPr>
          </xdr:nvPicPr>
          <xdr:blipFill>
            <a:blip xmlns:r="http://schemas.openxmlformats.org/officeDocument/2006/relationships" r:embed="rId4"/>
            <a:stretch>
              <a:fillRect/>
            </a:stretch>
          </xdr:blipFill>
          <xdr:spPr>
            <a:xfrm>
              <a:off x="1009649" y="1990725"/>
              <a:ext cx="4048125" cy="101600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1152524</xdr:colOff>
          <xdr:row>9</xdr:row>
          <xdr:rowOff>76200</xdr:rowOff>
        </xdr:from>
        <xdr:to>
          <xdr:col>2</xdr:col>
          <xdr:colOff>1125854</xdr:colOff>
          <xdr:row>12</xdr:row>
          <xdr:rowOff>321252</xdr:rowOff>
        </xdr:to>
        <xdr:pic>
          <xdr:nvPicPr>
            <xdr:cNvPr id="20" name="Picture 19" hidden="1">
              <a:extLst>
                <a:ext uri="{FF2B5EF4-FFF2-40B4-BE49-F238E27FC236}">
                  <a16:creationId xmlns:a16="http://schemas.microsoft.com/office/drawing/2014/main" id="{00000000-0008-0000-0500-000014000000}"/>
                </a:ext>
              </a:extLst>
            </xdr:cNvPr>
            <xdr:cNvPicPr>
              <a:picLocks noChangeAspect="1"/>
              <a:extLst>
                <a:ext uri="{84589F7E-364E-4C9E-8A38-B11213B215E9}">
                  <a14:cameraTool cellRange="G2_Picture" spid="_x0000_s21913"/>
                </a:ext>
              </a:extLst>
            </xdr:cNvPicPr>
          </xdr:nvPicPr>
          <xdr:blipFill>
            <a:blip xmlns:r="http://schemas.openxmlformats.org/officeDocument/2006/relationships" r:embed="rId6"/>
            <a:stretch>
              <a:fillRect/>
            </a:stretch>
          </xdr:blipFill>
          <xdr:spPr>
            <a:xfrm>
              <a:off x="1152524" y="1952625"/>
              <a:ext cx="3933825" cy="1073727"/>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1152525</xdr:colOff>
          <xdr:row>9</xdr:row>
          <xdr:rowOff>35439</xdr:rowOff>
        </xdr:from>
        <xdr:to>
          <xdr:col>2</xdr:col>
          <xdr:colOff>1312545</xdr:colOff>
          <xdr:row>12</xdr:row>
          <xdr:rowOff>320040</xdr:rowOff>
        </xdr:to>
        <xdr:pic>
          <xdr:nvPicPr>
            <xdr:cNvPr id="21" name="Picture 20" hidden="1">
              <a:extLst>
                <a:ext uri="{FF2B5EF4-FFF2-40B4-BE49-F238E27FC236}">
                  <a16:creationId xmlns:a16="http://schemas.microsoft.com/office/drawing/2014/main" id="{00000000-0008-0000-0500-000015000000}"/>
                </a:ext>
              </a:extLst>
            </xdr:cNvPr>
            <xdr:cNvPicPr>
              <a:picLocks noChangeAspect="1"/>
              <a:extLst>
                <a:ext uri="{84589F7E-364E-4C9E-8A38-B11213B215E9}">
                  <a14:cameraTool cellRange="G2_Picture" spid="_x0000_s21914"/>
                </a:ext>
              </a:extLst>
            </xdr:cNvPicPr>
          </xdr:nvPicPr>
          <xdr:blipFill>
            <a:blip xmlns:r="http://schemas.openxmlformats.org/officeDocument/2006/relationships" r:embed="rId6"/>
            <a:stretch>
              <a:fillRect/>
            </a:stretch>
          </xdr:blipFill>
          <xdr:spPr>
            <a:xfrm>
              <a:off x="1152525" y="1911864"/>
              <a:ext cx="4143375" cy="1117086"/>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9</xdr:row>
          <xdr:rowOff>38100</xdr:rowOff>
        </xdr:from>
        <xdr:to>
          <xdr:col>2</xdr:col>
          <xdr:colOff>1410585</xdr:colOff>
          <xdr:row>12</xdr:row>
          <xdr:rowOff>320040</xdr:rowOff>
        </xdr:to>
        <xdr:pic>
          <xdr:nvPicPr>
            <xdr:cNvPr id="22" name="Picture 21" hidden="1">
              <a:extLst>
                <a:ext uri="{FF2B5EF4-FFF2-40B4-BE49-F238E27FC236}">
                  <a16:creationId xmlns:a16="http://schemas.microsoft.com/office/drawing/2014/main" id="{00000000-0008-0000-0500-000016000000}"/>
                </a:ext>
              </a:extLst>
            </xdr:cNvPr>
            <xdr:cNvPicPr>
              <a:picLocks noChangeAspect="1"/>
              <a:extLst>
                <a:ext uri="{84589F7E-364E-4C9E-8A38-B11213B215E9}">
                  <a14:cameraTool cellRange="G2_Picture" spid="_x0000_s21915"/>
                </a:ext>
              </a:extLst>
            </xdr:cNvPicPr>
          </xdr:nvPicPr>
          <xdr:blipFill>
            <a:blip xmlns:r="http://schemas.openxmlformats.org/officeDocument/2006/relationships" r:embed="rId6"/>
            <a:stretch>
              <a:fillRect/>
            </a:stretch>
          </xdr:blipFill>
          <xdr:spPr>
            <a:xfrm>
              <a:off x="914400" y="1914525"/>
              <a:ext cx="4468110" cy="111442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1181100</xdr:colOff>
          <xdr:row>9</xdr:row>
          <xdr:rowOff>57150</xdr:rowOff>
        </xdr:from>
        <xdr:to>
          <xdr:col>2</xdr:col>
          <xdr:colOff>1501140</xdr:colOff>
          <xdr:row>12</xdr:row>
          <xdr:rowOff>326231</xdr:rowOff>
        </xdr:to>
        <xdr:pic>
          <xdr:nvPicPr>
            <xdr:cNvPr id="24" name="Picture 23" hidden="1">
              <a:extLst>
                <a:ext uri="{FF2B5EF4-FFF2-40B4-BE49-F238E27FC236}">
                  <a16:creationId xmlns:a16="http://schemas.microsoft.com/office/drawing/2014/main" id="{00000000-0008-0000-0500-000018000000}"/>
                </a:ext>
              </a:extLst>
            </xdr:cNvPr>
            <xdr:cNvPicPr>
              <a:picLocks noChangeAspect="1"/>
              <a:extLst>
                <a:ext uri="{84589F7E-364E-4C9E-8A38-B11213B215E9}">
                  <a14:cameraTool cellRange="G2_Picture" spid="_x0000_s21916"/>
                </a:ext>
              </a:extLst>
            </xdr:cNvPicPr>
          </xdr:nvPicPr>
          <xdr:blipFill>
            <a:blip xmlns:r="http://schemas.openxmlformats.org/officeDocument/2006/relationships" r:embed="rId6"/>
            <a:stretch>
              <a:fillRect/>
            </a:stretch>
          </xdr:blipFill>
          <xdr:spPr>
            <a:xfrm>
              <a:off x="1181100" y="1933575"/>
              <a:ext cx="4286250" cy="1107281"/>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933449</xdr:colOff>
          <xdr:row>9</xdr:row>
          <xdr:rowOff>57149</xdr:rowOff>
        </xdr:from>
        <xdr:to>
          <xdr:col>2</xdr:col>
          <xdr:colOff>1310640</xdr:colOff>
          <xdr:row>12</xdr:row>
          <xdr:rowOff>364360</xdr:rowOff>
        </xdr:to>
        <xdr:pic>
          <xdr:nvPicPr>
            <xdr:cNvPr id="26" name="Picture 25" hidden="1">
              <a:extLst>
                <a:ext uri="{FF2B5EF4-FFF2-40B4-BE49-F238E27FC236}">
                  <a16:creationId xmlns:a16="http://schemas.microsoft.com/office/drawing/2014/main" id="{00000000-0008-0000-0500-00001A000000}"/>
                </a:ext>
              </a:extLst>
            </xdr:cNvPr>
            <xdr:cNvPicPr>
              <a:picLocks noChangeAspect="1"/>
              <a:extLst>
                <a:ext uri="{84589F7E-364E-4C9E-8A38-B11213B215E9}">
                  <a14:cameraTool cellRange="G2_Picture" spid="_x0000_s21917"/>
                </a:ext>
              </a:extLst>
            </xdr:cNvPicPr>
          </xdr:nvPicPr>
          <xdr:blipFill>
            <a:blip xmlns:r="http://schemas.openxmlformats.org/officeDocument/2006/relationships" r:embed="rId6"/>
            <a:stretch>
              <a:fillRect/>
            </a:stretch>
          </xdr:blipFill>
          <xdr:spPr>
            <a:xfrm>
              <a:off x="933449" y="1933574"/>
              <a:ext cx="4343401" cy="1137791"/>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495300</xdr:colOff>
          <xdr:row>9</xdr:row>
          <xdr:rowOff>85725</xdr:rowOff>
        </xdr:from>
        <xdr:to>
          <xdr:col>3</xdr:col>
          <xdr:colOff>173354</xdr:colOff>
          <xdr:row>12</xdr:row>
          <xdr:rowOff>362426</xdr:rowOff>
        </xdr:to>
        <xdr:pic>
          <xdr:nvPicPr>
            <xdr:cNvPr id="29" name="Picture 28">
              <a:extLst>
                <a:ext uri="{FF2B5EF4-FFF2-40B4-BE49-F238E27FC236}">
                  <a16:creationId xmlns:a16="http://schemas.microsoft.com/office/drawing/2014/main" id="{00000000-0008-0000-0500-00001D000000}"/>
                </a:ext>
              </a:extLst>
            </xdr:cNvPr>
            <xdr:cNvPicPr>
              <a:picLocks noChangeAspect="1"/>
              <a:extLst>
                <a:ext uri="{84589F7E-364E-4C9E-8A38-B11213B215E9}">
                  <a14:cameraTool cellRange="G2_Picture" spid="_x0000_s21918"/>
                </a:ext>
              </a:extLst>
            </xdr:cNvPicPr>
          </xdr:nvPicPr>
          <xdr:blipFill>
            <a:blip xmlns:r="http://schemas.openxmlformats.org/officeDocument/2006/relationships" r:embed="rId6"/>
            <a:stretch>
              <a:fillRect/>
            </a:stretch>
          </xdr:blipFill>
          <xdr:spPr>
            <a:xfrm>
              <a:off x="495300" y="1962150"/>
              <a:ext cx="5191124" cy="1107281"/>
            </a:xfrm>
            <a:prstGeom prst="rect">
              <a:avLst/>
            </a:prstGeom>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xdr:col>
      <xdr:colOff>662940</xdr:colOff>
      <xdr:row>2</xdr:row>
      <xdr:rowOff>210312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6200"/>
          <a:ext cx="2743200" cy="644652"/>
        </a:xfrm>
        <a:prstGeom prst="rect">
          <a:avLst/>
        </a:prstGeom>
      </xdr:spPr>
    </xdr:pic>
    <xdr:clientData/>
  </xdr:twoCellAnchor>
  <xdr:twoCellAnchor editAs="oneCell">
    <xdr:from>
      <xdr:col>0</xdr:col>
      <xdr:colOff>0</xdr:colOff>
      <xdr:row>9</xdr:row>
      <xdr:rowOff>0</xdr:rowOff>
    </xdr:from>
    <xdr:to>
      <xdr:col>3</xdr:col>
      <xdr:colOff>472593</xdr:colOff>
      <xdr:row>11</xdr:row>
      <xdr:rowOff>302895</xdr:rowOff>
    </xdr:to>
    <xdr:pic>
      <xdr:nvPicPr>
        <xdr:cNvPr id="7" name="Picture 6" hidden="1">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76425"/>
          <a:ext cx="6000903" cy="969645"/>
        </a:xfrm>
        <a:prstGeom prst="rect">
          <a:avLst/>
        </a:prstGeom>
      </xdr:spPr>
    </xdr:pic>
    <xdr:clientData/>
  </xdr:twoCellAnchor>
  <xdr:twoCellAnchor editAs="oneCell">
    <xdr:from>
      <xdr:col>0</xdr:col>
      <xdr:colOff>0</xdr:colOff>
      <xdr:row>9</xdr:row>
      <xdr:rowOff>17145</xdr:rowOff>
    </xdr:from>
    <xdr:to>
      <xdr:col>3</xdr:col>
      <xdr:colOff>131445</xdr:colOff>
      <xdr:row>12</xdr:row>
      <xdr:rowOff>59552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1162051</xdr:colOff>
          <xdr:row>9</xdr:row>
          <xdr:rowOff>85725</xdr:rowOff>
        </xdr:from>
        <xdr:to>
          <xdr:col>2</xdr:col>
          <xdr:colOff>1295400</xdr:colOff>
          <xdr:row>12</xdr:row>
          <xdr:rowOff>210806</xdr:rowOff>
        </xdr:to>
        <xdr:pic>
          <xdr:nvPicPr>
            <xdr:cNvPr id="4" name="Picture 3" hidden="1">
              <a:extLst>
                <a:ext uri="{FF2B5EF4-FFF2-40B4-BE49-F238E27FC236}">
                  <a16:creationId xmlns:a16="http://schemas.microsoft.com/office/drawing/2014/main" id="{00000000-0008-0000-0600-000004000000}"/>
                </a:ext>
              </a:extLst>
            </xdr:cNvPr>
            <xdr:cNvPicPr>
              <a:picLocks noChangeAspect="1"/>
              <a:extLst>
                <a:ext uri="{84589F7E-364E-4C9E-8A38-B11213B215E9}">
                  <a14:cameraTool cellRange="G3_Picture" spid="_x0000_s7146"/>
                </a:ext>
              </a:extLst>
            </xdr:cNvPicPr>
          </xdr:nvPicPr>
          <xdr:blipFill>
            <a:blip xmlns:r="http://schemas.openxmlformats.org/officeDocument/2006/relationships" r:embed="rId4"/>
            <a:stretch>
              <a:fillRect/>
            </a:stretch>
          </xdr:blipFill>
          <xdr:spPr>
            <a:xfrm>
              <a:off x="1162051" y="1962150"/>
              <a:ext cx="4105274" cy="1149971"/>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582757</xdr:colOff>
          <xdr:row>9</xdr:row>
          <xdr:rowOff>66675</xdr:rowOff>
        </xdr:from>
        <xdr:to>
          <xdr:col>3</xdr:col>
          <xdr:colOff>76200</xdr:colOff>
          <xdr:row>12</xdr:row>
          <xdr:rowOff>190500</xdr:rowOff>
        </xdr:to>
        <xdr:pic>
          <xdr:nvPicPr>
            <xdr:cNvPr id="6" name="Picture 5" hidden="1">
              <a:extLst>
                <a:ext uri="{FF2B5EF4-FFF2-40B4-BE49-F238E27FC236}">
                  <a16:creationId xmlns:a16="http://schemas.microsoft.com/office/drawing/2014/main" id="{00000000-0008-0000-0600-000006000000}"/>
                </a:ext>
              </a:extLst>
            </xdr:cNvPr>
            <xdr:cNvPicPr>
              <a:picLocks noChangeAspect="1"/>
              <a:extLst>
                <a:ext uri="{84589F7E-364E-4C9E-8A38-B11213B215E9}">
                  <a14:cameraTool cellRange="G3_Picture" spid="_x0000_s7147"/>
                </a:ext>
              </a:extLst>
            </xdr:cNvPicPr>
          </xdr:nvPicPr>
          <xdr:blipFill>
            <a:blip xmlns:r="http://schemas.openxmlformats.org/officeDocument/2006/relationships" r:embed="rId4"/>
            <a:stretch>
              <a:fillRect/>
            </a:stretch>
          </xdr:blipFill>
          <xdr:spPr>
            <a:xfrm>
              <a:off x="582757" y="1943100"/>
              <a:ext cx="5017943" cy="11620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600076</xdr:colOff>
          <xdr:row>9</xdr:row>
          <xdr:rowOff>73577</xdr:rowOff>
        </xdr:from>
        <xdr:to>
          <xdr:col>3</xdr:col>
          <xdr:colOff>323850</xdr:colOff>
          <xdr:row>12</xdr:row>
          <xdr:rowOff>137159</xdr:rowOff>
        </xdr:to>
        <xdr:pic>
          <xdr:nvPicPr>
            <xdr:cNvPr id="9" name="Picture 8" hidden="1">
              <a:extLst>
                <a:ext uri="{FF2B5EF4-FFF2-40B4-BE49-F238E27FC236}">
                  <a16:creationId xmlns:a16="http://schemas.microsoft.com/office/drawing/2014/main" id="{00000000-0008-0000-0600-000009000000}"/>
                </a:ext>
              </a:extLst>
            </xdr:cNvPr>
            <xdr:cNvPicPr>
              <a:picLocks noChangeAspect="1"/>
              <a:extLst>
                <a:ext uri="{84589F7E-364E-4C9E-8A38-B11213B215E9}">
                  <a14:cameraTool cellRange="G3_Picture" spid="_x0000_s7148"/>
                </a:ext>
              </a:extLst>
            </xdr:cNvPicPr>
          </xdr:nvPicPr>
          <xdr:blipFill>
            <a:blip xmlns:r="http://schemas.openxmlformats.org/officeDocument/2006/relationships" r:embed="rId4"/>
            <a:stretch>
              <a:fillRect/>
            </a:stretch>
          </xdr:blipFill>
          <xdr:spPr>
            <a:xfrm>
              <a:off x="600076" y="1950002"/>
              <a:ext cx="5238749" cy="1097997"/>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666750</xdr:colOff>
          <xdr:row>9</xdr:row>
          <xdr:rowOff>114300</xdr:rowOff>
        </xdr:from>
        <xdr:to>
          <xdr:col>3</xdr:col>
          <xdr:colOff>0</xdr:colOff>
          <xdr:row>12</xdr:row>
          <xdr:rowOff>170021</xdr:rowOff>
        </xdr:to>
        <xdr:pic>
          <xdr:nvPicPr>
            <xdr:cNvPr id="10" name="Picture 9">
              <a:extLst>
                <a:ext uri="{FF2B5EF4-FFF2-40B4-BE49-F238E27FC236}">
                  <a16:creationId xmlns:a16="http://schemas.microsoft.com/office/drawing/2014/main" id="{00000000-0008-0000-0600-00000A000000}"/>
                </a:ext>
              </a:extLst>
            </xdr:cNvPr>
            <xdr:cNvPicPr>
              <a:picLocks noChangeAspect="1"/>
              <a:extLst>
                <a:ext uri="{84589F7E-364E-4C9E-8A38-B11213B215E9}">
                  <a14:cameraTool cellRange="G3_Picture" spid="_x0000_s7149"/>
                </a:ext>
              </a:extLst>
            </xdr:cNvPicPr>
          </xdr:nvPicPr>
          <xdr:blipFill>
            <a:blip xmlns:r="http://schemas.openxmlformats.org/officeDocument/2006/relationships" r:embed="rId4"/>
            <a:stretch>
              <a:fillRect/>
            </a:stretch>
          </xdr:blipFill>
          <xdr:spPr>
            <a:xfrm>
              <a:off x="666750" y="1990725"/>
              <a:ext cx="4857750" cy="1107281"/>
            </a:xfrm>
            <a:prstGeom prst="rect">
              <a:avLst/>
            </a:prstGeom>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xdr:col>
      <xdr:colOff>662940</xdr:colOff>
      <xdr:row>2</xdr:row>
      <xdr:rowOff>210312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6200"/>
          <a:ext cx="2743200" cy="644652"/>
        </a:xfrm>
        <a:prstGeom prst="rect">
          <a:avLst/>
        </a:prstGeom>
      </xdr:spPr>
    </xdr:pic>
    <xdr:clientData/>
  </xdr:twoCellAnchor>
  <xdr:twoCellAnchor editAs="oneCell">
    <xdr:from>
      <xdr:col>0</xdr:col>
      <xdr:colOff>0</xdr:colOff>
      <xdr:row>9</xdr:row>
      <xdr:rowOff>17145</xdr:rowOff>
    </xdr:from>
    <xdr:to>
      <xdr:col>3</xdr:col>
      <xdr:colOff>476403</xdr:colOff>
      <xdr:row>11</xdr:row>
      <xdr:rowOff>360045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131445</xdr:colOff>
      <xdr:row>11</xdr:row>
      <xdr:rowOff>150992</xdr:rowOff>
    </xdr:to>
    <xdr:pic>
      <xdr:nvPicPr>
        <xdr:cNvPr id="4" name="Picture 3" hidden="1">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76425"/>
          <a:ext cx="5659755" cy="8177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1181100</xdr:colOff>
          <xdr:row>9</xdr:row>
          <xdr:rowOff>47625</xdr:rowOff>
        </xdr:from>
        <xdr:to>
          <xdr:col>2</xdr:col>
          <xdr:colOff>1272540</xdr:colOff>
          <xdr:row>12</xdr:row>
          <xdr:rowOff>210697</xdr:rowOff>
        </xdr:to>
        <xdr:pic>
          <xdr:nvPicPr>
            <xdr:cNvPr id="5" name="Picture 4" hidden="1">
              <a:extLst>
                <a:ext uri="{FF2B5EF4-FFF2-40B4-BE49-F238E27FC236}">
                  <a16:creationId xmlns:a16="http://schemas.microsoft.com/office/drawing/2014/main" id="{00000000-0008-0000-0700-000005000000}"/>
                </a:ext>
              </a:extLst>
            </xdr:cNvPr>
            <xdr:cNvPicPr>
              <a:picLocks noChangeAspect="1"/>
              <a:extLst>
                <a:ext uri="{84589F7E-364E-4C9E-8A38-B11213B215E9}">
                  <a14:cameraTool cellRange="G3Ext_Picture" spid="_x0000_s16261"/>
                </a:ext>
              </a:extLst>
            </xdr:cNvPicPr>
          </xdr:nvPicPr>
          <xdr:blipFill>
            <a:blip xmlns:r="http://schemas.openxmlformats.org/officeDocument/2006/relationships" r:embed="rId4"/>
            <a:stretch>
              <a:fillRect/>
            </a:stretch>
          </xdr:blipFill>
          <xdr:spPr>
            <a:xfrm>
              <a:off x="1181100" y="1924050"/>
              <a:ext cx="4067175" cy="118796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723900</xdr:colOff>
          <xdr:row>9</xdr:row>
          <xdr:rowOff>66674</xdr:rowOff>
        </xdr:from>
        <xdr:to>
          <xdr:col>3</xdr:col>
          <xdr:colOff>60008</xdr:colOff>
          <xdr:row>12</xdr:row>
          <xdr:rowOff>171449</xdr:rowOff>
        </xdr:to>
        <xdr:pic>
          <xdr:nvPicPr>
            <xdr:cNvPr id="7" name="Picture 6" hidden="1">
              <a:extLst>
                <a:ext uri="{FF2B5EF4-FFF2-40B4-BE49-F238E27FC236}">
                  <a16:creationId xmlns:a16="http://schemas.microsoft.com/office/drawing/2014/main" id="{00000000-0008-0000-0700-000007000000}"/>
                </a:ext>
              </a:extLst>
            </xdr:cNvPr>
            <xdr:cNvPicPr>
              <a:picLocks noChangeAspect="1"/>
              <a:extLst>
                <a:ext uri="{84589F7E-364E-4C9E-8A38-B11213B215E9}">
                  <a14:cameraTool cellRange="G3Ext_Picture" spid="_x0000_s16262"/>
                </a:ext>
              </a:extLst>
            </xdr:cNvPicPr>
          </xdr:nvPicPr>
          <xdr:blipFill>
            <a:blip xmlns:r="http://schemas.openxmlformats.org/officeDocument/2006/relationships" r:embed="rId4"/>
            <a:stretch>
              <a:fillRect/>
            </a:stretch>
          </xdr:blipFill>
          <xdr:spPr>
            <a:xfrm>
              <a:off x="723900" y="1943099"/>
              <a:ext cx="4872038" cy="115252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xdr:row>
          <xdr:rowOff>95250</xdr:rowOff>
        </xdr:from>
        <xdr:to>
          <xdr:col>3</xdr:col>
          <xdr:colOff>477982</xdr:colOff>
          <xdr:row>12</xdr:row>
          <xdr:rowOff>211455</xdr:rowOff>
        </xdr:to>
        <xdr:pic>
          <xdr:nvPicPr>
            <xdr:cNvPr id="8" name="Picture 7" hidden="1">
              <a:extLst>
                <a:ext uri="{FF2B5EF4-FFF2-40B4-BE49-F238E27FC236}">
                  <a16:creationId xmlns:a16="http://schemas.microsoft.com/office/drawing/2014/main" id="{00000000-0008-0000-0700-000008000000}"/>
                </a:ext>
              </a:extLst>
            </xdr:cNvPr>
            <xdr:cNvPicPr>
              <a:picLocks noChangeAspect="1"/>
              <a:extLst>
                <a:ext uri="{84589F7E-364E-4C9E-8A38-B11213B215E9}">
                  <a14:cameraTool cellRange="G3Ext_Picture" spid="_x0000_s16263"/>
                </a:ext>
              </a:extLst>
            </xdr:cNvPicPr>
          </xdr:nvPicPr>
          <xdr:blipFill>
            <a:blip xmlns:r="http://schemas.openxmlformats.org/officeDocument/2006/relationships" r:embed="rId4"/>
            <a:stretch>
              <a:fillRect/>
            </a:stretch>
          </xdr:blipFill>
          <xdr:spPr>
            <a:xfrm>
              <a:off x="200025" y="1971675"/>
              <a:ext cx="5789122" cy="11620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533400</xdr:colOff>
          <xdr:row>9</xdr:row>
          <xdr:rowOff>142875</xdr:rowOff>
        </xdr:from>
        <xdr:to>
          <xdr:col>3</xdr:col>
          <xdr:colOff>0</xdr:colOff>
          <xdr:row>12</xdr:row>
          <xdr:rowOff>152400</xdr:rowOff>
        </xdr:to>
        <xdr:pic>
          <xdr:nvPicPr>
            <xdr:cNvPr id="9" name="Picture 8" hidden="1">
              <a:extLst>
                <a:ext uri="{FF2B5EF4-FFF2-40B4-BE49-F238E27FC236}">
                  <a16:creationId xmlns:a16="http://schemas.microsoft.com/office/drawing/2014/main" id="{00000000-0008-0000-0700-000009000000}"/>
                </a:ext>
              </a:extLst>
            </xdr:cNvPr>
            <xdr:cNvPicPr>
              <a:picLocks noChangeAspect="1"/>
              <a:extLst>
                <a:ext uri="{84589F7E-364E-4C9E-8A38-B11213B215E9}">
                  <a14:cameraTool cellRange="G3Ext_Picture" spid="_x0000_s16264"/>
                </a:ext>
              </a:extLst>
            </xdr:cNvPicPr>
          </xdr:nvPicPr>
          <xdr:blipFill>
            <a:blip xmlns:r="http://schemas.openxmlformats.org/officeDocument/2006/relationships" r:embed="rId4"/>
            <a:stretch>
              <a:fillRect/>
            </a:stretch>
          </xdr:blipFill>
          <xdr:spPr>
            <a:xfrm>
              <a:off x="533400" y="2019300"/>
              <a:ext cx="4991100" cy="10477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828675</xdr:colOff>
          <xdr:row>9</xdr:row>
          <xdr:rowOff>95250</xdr:rowOff>
        </xdr:from>
        <xdr:to>
          <xdr:col>2</xdr:col>
          <xdr:colOff>1524000</xdr:colOff>
          <xdr:row>12</xdr:row>
          <xdr:rowOff>168116</xdr:rowOff>
        </xdr:to>
        <xdr:pic>
          <xdr:nvPicPr>
            <xdr:cNvPr id="11" name="Picture 10" hidden="1">
              <a:extLst>
                <a:ext uri="{FF2B5EF4-FFF2-40B4-BE49-F238E27FC236}">
                  <a16:creationId xmlns:a16="http://schemas.microsoft.com/office/drawing/2014/main" id="{00000000-0008-0000-0700-00000B000000}"/>
                </a:ext>
              </a:extLst>
            </xdr:cNvPr>
            <xdr:cNvPicPr>
              <a:picLocks noChangeAspect="1"/>
              <a:extLst>
                <a:ext uri="{84589F7E-364E-4C9E-8A38-B11213B215E9}">
                  <a14:cameraTool cellRange="G3Ext_Picture" spid="_x0000_s16265"/>
                </a:ext>
              </a:extLst>
            </xdr:cNvPicPr>
          </xdr:nvPicPr>
          <xdr:blipFill>
            <a:blip xmlns:r="http://schemas.openxmlformats.org/officeDocument/2006/relationships" r:embed="rId4"/>
            <a:stretch>
              <a:fillRect/>
            </a:stretch>
          </xdr:blipFill>
          <xdr:spPr>
            <a:xfrm>
              <a:off x="828675" y="1971675"/>
              <a:ext cx="4667250" cy="1107281"/>
            </a:xfrm>
            <a:prstGeom prst="rect">
              <a:avLst/>
            </a:prstGeom>
          </xdr:spPr>
        </xdr:pic>
        <xdr:clientData/>
      </xdr:twoCellAnchor>
    </mc:Choice>
    <mc:Fallback/>
  </mc:AlternateContent>
  <xdr:twoCellAnchor editAs="oneCell">
    <xdr:from>
      <xdr:col>7</xdr:col>
      <xdr:colOff>371475</xdr:colOff>
      <xdr:row>2</xdr:row>
      <xdr:rowOff>130175</xdr:rowOff>
    </xdr:from>
    <xdr:to>
      <xdr:col>11</xdr:col>
      <xdr:colOff>552450</xdr:colOff>
      <xdr:row>18</xdr:row>
      <xdr:rowOff>114300</xdr:rowOff>
    </xdr:to>
    <xdr:pic>
      <xdr:nvPicPr>
        <xdr:cNvPr id="12" name="Picture 11" hidden="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525000" y="644525"/>
          <a:ext cx="2609850" cy="34798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685800</xdr:colOff>
          <xdr:row>9</xdr:row>
          <xdr:rowOff>133350</xdr:rowOff>
        </xdr:from>
        <xdr:to>
          <xdr:col>3</xdr:col>
          <xdr:colOff>38100</xdr:colOff>
          <xdr:row>12</xdr:row>
          <xdr:rowOff>135255</xdr:rowOff>
        </xdr:to>
        <xdr:pic>
          <xdr:nvPicPr>
            <xdr:cNvPr id="14" name="Picture 13" hidden="1">
              <a:extLst>
                <a:ext uri="{FF2B5EF4-FFF2-40B4-BE49-F238E27FC236}">
                  <a16:creationId xmlns:a16="http://schemas.microsoft.com/office/drawing/2014/main" id="{00000000-0008-0000-0700-00000E000000}"/>
                </a:ext>
              </a:extLst>
            </xdr:cNvPr>
            <xdr:cNvPicPr>
              <a:picLocks noChangeAspect="1"/>
              <a:extLst>
                <a:ext uri="{84589F7E-364E-4C9E-8A38-B11213B215E9}">
                  <a14:cameraTool cellRange="G3Ext_Picture" spid="_x0000_s16266"/>
                </a:ext>
              </a:extLst>
            </xdr:cNvPicPr>
          </xdr:nvPicPr>
          <xdr:blipFill>
            <a:blip xmlns:r="http://schemas.openxmlformats.org/officeDocument/2006/relationships" r:embed="rId4"/>
            <a:stretch>
              <a:fillRect/>
            </a:stretch>
          </xdr:blipFill>
          <xdr:spPr>
            <a:xfrm>
              <a:off x="685800" y="2009775"/>
              <a:ext cx="4876800" cy="104775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9</xdr:row>
          <xdr:rowOff>85725</xdr:rowOff>
        </xdr:from>
        <xdr:to>
          <xdr:col>2</xdr:col>
          <xdr:colOff>1543050</xdr:colOff>
          <xdr:row>12</xdr:row>
          <xdr:rowOff>154781</xdr:rowOff>
        </xdr:to>
        <xdr:pic>
          <xdr:nvPicPr>
            <xdr:cNvPr id="15" name="Picture 14" hidden="1">
              <a:extLst>
                <a:ext uri="{FF2B5EF4-FFF2-40B4-BE49-F238E27FC236}">
                  <a16:creationId xmlns:a16="http://schemas.microsoft.com/office/drawing/2014/main" id="{00000000-0008-0000-0700-00000F000000}"/>
                </a:ext>
              </a:extLst>
            </xdr:cNvPr>
            <xdr:cNvPicPr>
              <a:picLocks noChangeAspect="1"/>
              <a:extLst>
                <a:ext uri="{84589F7E-364E-4C9E-8A38-B11213B215E9}">
                  <a14:cameraTool cellRange="G3Ext_Picture" spid="_x0000_s16267"/>
                </a:ext>
              </a:extLst>
            </xdr:cNvPicPr>
          </xdr:nvPicPr>
          <xdr:blipFill>
            <a:blip xmlns:r="http://schemas.openxmlformats.org/officeDocument/2006/relationships" r:embed="rId4"/>
            <a:stretch>
              <a:fillRect/>
            </a:stretch>
          </xdr:blipFill>
          <xdr:spPr>
            <a:xfrm>
              <a:off x="628650" y="1962150"/>
              <a:ext cx="4876800" cy="1107281"/>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9</xdr:row>
          <xdr:rowOff>95250</xdr:rowOff>
        </xdr:from>
        <xdr:to>
          <xdr:col>3</xdr:col>
          <xdr:colOff>38100</xdr:colOff>
          <xdr:row>12</xdr:row>
          <xdr:rowOff>97155</xdr:rowOff>
        </xdr:to>
        <xdr:pic>
          <xdr:nvPicPr>
            <xdr:cNvPr id="16" name="Picture 15" hidden="1">
              <a:extLst>
                <a:ext uri="{FF2B5EF4-FFF2-40B4-BE49-F238E27FC236}">
                  <a16:creationId xmlns:a16="http://schemas.microsoft.com/office/drawing/2014/main" id="{00000000-0008-0000-0700-000010000000}"/>
                </a:ext>
              </a:extLst>
            </xdr:cNvPr>
            <xdr:cNvPicPr>
              <a:picLocks noChangeAspect="1"/>
              <a:extLst>
                <a:ext uri="{84589F7E-364E-4C9E-8A38-B11213B215E9}">
                  <a14:cameraTool cellRange="G3Ext_Picture" spid="_x0000_s16268"/>
                </a:ext>
              </a:extLst>
            </xdr:cNvPicPr>
          </xdr:nvPicPr>
          <xdr:blipFill>
            <a:blip xmlns:r="http://schemas.openxmlformats.org/officeDocument/2006/relationships" r:embed="rId4"/>
            <a:stretch>
              <a:fillRect/>
            </a:stretch>
          </xdr:blipFill>
          <xdr:spPr>
            <a:xfrm>
              <a:off x="847725" y="1971675"/>
              <a:ext cx="4714875" cy="1047750"/>
            </a:xfrm>
            <a:prstGeom prst="rect">
              <a:avLst/>
            </a:prstGeom>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58"/>
  <sheetViews>
    <sheetView topLeftCell="A10" zoomScaleNormal="100" workbookViewId="0">
      <selection activeCell="C17" sqref="C17"/>
    </sheetView>
  </sheetViews>
  <sheetFormatPr defaultColWidth="9.28515625" defaultRowHeight="12.75"/>
  <cols>
    <col min="1" max="1" width="8.42578125" style="8" customWidth="1"/>
    <col min="2" max="2" width="24.7109375" style="8" customWidth="1"/>
    <col min="3" max="3" width="33.7109375" style="8" customWidth="1"/>
    <col min="4" max="4" width="20.28515625" style="8" customWidth="1"/>
    <col min="5" max="5" width="24.28515625" style="8" customWidth="1"/>
    <col min="6" max="6" width="19" style="8" customWidth="1"/>
    <col min="7" max="7" width="13.28515625" style="8" customWidth="1"/>
    <col min="8" max="8" width="10.42578125" style="8" customWidth="1"/>
    <col min="9" max="9" width="23.7109375" style="1" customWidth="1"/>
    <col min="10" max="10" width="19.28515625" style="1" customWidth="1"/>
    <col min="11" max="11" width="17.7109375" style="1" customWidth="1"/>
    <col min="12" max="12" width="20.28515625" style="1" customWidth="1"/>
    <col min="13" max="16384" width="9.28515625" style="1"/>
  </cols>
  <sheetData>
    <row r="1" spans="1:13" ht="27.75" customHeight="1">
      <c r="E1" s="112"/>
      <c r="F1" s="113"/>
      <c r="G1" s="114" t="s">
        <v>0</v>
      </c>
      <c r="H1" s="115" t="s">
        <v>1</v>
      </c>
    </row>
    <row r="2" spans="1:13" ht="15.75" customHeight="1">
      <c r="D2" s="112"/>
      <c r="E2" s="112"/>
      <c r="F2" s="103"/>
      <c r="G2" s="116" t="s">
        <v>2</v>
      </c>
      <c r="H2" s="117" t="s">
        <v>450</v>
      </c>
    </row>
    <row r="3" spans="1:13" ht="15.75" customHeight="1">
      <c r="D3" s="112"/>
      <c r="E3" s="112"/>
      <c r="F3" s="103"/>
      <c r="G3" s="116" t="s">
        <v>3</v>
      </c>
      <c r="H3" s="118">
        <v>45618</v>
      </c>
    </row>
    <row r="4" spans="1:13" ht="15.75" customHeight="1" thickBot="1">
      <c r="D4" s="119"/>
      <c r="E4" s="119"/>
      <c r="F4" s="103"/>
      <c r="G4" s="120" t="s">
        <v>4</v>
      </c>
      <c r="H4" s="121">
        <v>12698</v>
      </c>
    </row>
    <row r="5" spans="1:13" ht="9" customHeight="1" thickBot="1">
      <c r="A5" s="122"/>
      <c r="B5" s="122"/>
      <c r="C5" s="122"/>
      <c r="D5" s="122"/>
      <c r="E5" s="122"/>
      <c r="F5" s="122"/>
      <c r="G5" s="122"/>
      <c r="H5" s="122"/>
    </row>
    <row r="6" spans="1:13" ht="9" customHeight="1" thickTop="1"/>
    <row r="7" spans="1:13" ht="22.5" customHeight="1">
      <c r="A7" s="462" t="s">
        <v>5</v>
      </c>
      <c r="B7" s="462"/>
      <c r="C7" s="462"/>
      <c r="D7" s="462"/>
      <c r="E7" s="461" t="s">
        <v>6</v>
      </c>
      <c r="F7" s="461"/>
      <c r="G7" s="461"/>
      <c r="H7" s="461"/>
    </row>
    <row r="8" spans="1:13" ht="17.649999999999999" customHeight="1">
      <c r="A8" s="466" t="s">
        <v>447</v>
      </c>
      <c r="B8" s="466"/>
      <c r="C8" s="466"/>
      <c r="D8" s="466"/>
      <c r="E8" s="466"/>
      <c r="F8" s="466"/>
      <c r="G8" s="466"/>
      <c r="H8" s="466"/>
    </row>
    <row r="9" spans="1:13" ht="39.6" customHeight="1">
      <c r="A9" s="443" t="s">
        <v>451</v>
      </c>
      <c r="B9" s="444"/>
      <c r="C9" s="444"/>
      <c r="D9" s="444"/>
      <c r="E9" s="444"/>
      <c r="F9" s="444"/>
      <c r="G9" s="444"/>
      <c r="H9" s="444"/>
    </row>
    <row r="10" spans="1:13" ht="49.9" customHeight="1">
      <c r="A10" s="443" t="s">
        <v>470</v>
      </c>
      <c r="B10" s="444"/>
      <c r="C10" s="444"/>
      <c r="D10" s="444"/>
      <c r="E10" s="444"/>
      <c r="F10" s="444"/>
      <c r="G10" s="444"/>
      <c r="H10" s="444"/>
    </row>
    <row r="11" spans="1:13" ht="36" customHeight="1">
      <c r="A11" s="443" t="s">
        <v>446</v>
      </c>
      <c r="B11" s="444"/>
      <c r="C11" s="444"/>
      <c r="D11" s="444"/>
      <c r="E11" s="444"/>
      <c r="F11" s="444"/>
      <c r="G11" s="444"/>
      <c r="H11" s="444"/>
    </row>
    <row r="12" spans="1:13" ht="15.75" customHeight="1">
      <c r="A12" s="466" t="s">
        <v>445</v>
      </c>
      <c r="B12" s="467"/>
      <c r="C12" s="467"/>
      <c r="D12" s="467"/>
      <c r="E12" s="467"/>
      <c r="F12" s="467"/>
      <c r="G12" s="467"/>
      <c r="H12" s="467"/>
    </row>
    <row r="13" spans="1:13" ht="8.25" customHeight="1" thickBot="1">
      <c r="K13" s="8"/>
    </row>
    <row r="14" spans="1:13" ht="21.75" customHeight="1" thickBot="1">
      <c r="A14" s="463" t="s">
        <v>7</v>
      </c>
      <c r="B14" s="455"/>
      <c r="C14" s="58" t="s">
        <v>473</v>
      </c>
      <c r="D14" s="5"/>
      <c r="E14" s="490" t="s">
        <v>8</v>
      </c>
      <c r="F14" s="490"/>
      <c r="H14" s="468" t="s">
        <v>9</v>
      </c>
      <c r="I14" s="469"/>
      <c r="J14" s="470"/>
    </row>
    <row r="15" spans="1:13" ht="21.75" customHeight="1" thickBot="1">
      <c r="A15" s="463" t="s">
        <v>10</v>
      </c>
      <c r="B15" s="455"/>
      <c r="C15" s="58" t="s">
        <v>474</v>
      </c>
      <c r="D15" s="5"/>
      <c r="E15" s="490"/>
      <c r="F15" s="490"/>
      <c r="H15" s="471"/>
      <c r="I15" s="472"/>
      <c r="J15" s="127" t="s">
        <v>11</v>
      </c>
    </row>
    <row r="16" spans="1:13" ht="27.75" customHeight="1">
      <c r="A16" s="463" t="s">
        <v>3</v>
      </c>
      <c r="B16" s="455"/>
      <c r="C16" s="59" t="s">
        <v>475</v>
      </c>
      <c r="D16" s="5"/>
      <c r="E16" s="490"/>
      <c r="F16" s="490"/>
      <c r="H16" s="473" t="s">
        <v>12</v>
      </c>
      <c r="I16" s="128" t="s">
        <v>13</v>
      </c>
      <c r="J16" s="129">
        <v>50000</v>
      </c>
      <c r="K16" s="305" t="s">
        <v>14</v>
      </c>
      <c r="L16"/>
      <c r="M16"/>
    </row>
    <row r="17" spans="1:14" ht="30" customHeight="1" thickBot="1">
      <c r="A17" s="464" t="s">
        <v>15</v>
      </c>
      <c r="B17" s="465"/>
      <c r="C17" s="73" t="s">
        <v>210</v>
      </c>
      <c r="D17" s="5"/>
      <c r="E17" s="491" t="s">
        <v>17</v>
      </c>
      <c r="F17" s="491"/>
      <c r="H17" s="474"/>
      <c r="I17" s="130" t="s">
        <v>18</v>
      </c>
      <c r="J17" s="131"/>
      <c r="K17" s="459" t="s">
        <v>19</v>
      </c>
      <c r="L17" s="460"/>
      <c r="M17" s="460"/>
    </row>
    <row r="18" spans="1:14" ht="25.5" customHeight="1">
      <c r="A18" s="457" t="s">
        <v>20</v>
      </c>
      <c r="B18" s="132" t="s">
        <v>21</v>
      </c>
      <c r="C18" s="72" t="s">
        <v>471</v>
      </c>
      <c r="D18" s="6"/>
      <c r="E18" s="108" t="str">
        <f>IF(AND(OR(C17=Constants!A2,C17=Constants!A3),C18&lt;&gt;"G1 Main Hull"),"  Must Use G1 Main Hull",IF(C18="Other: FWD","Please input custom hull length in cell D17",""))</f>
        <v/>
      </c>
      <c r="F18" s="107"/>
      <c r="G18" s="133"/>
      <c r="H18" s="474"/>
      <c r="I18" s="130" t="s">
        <v>22</v>
      </c>
      <c r="J18" s="131"/>
      <c r="K18" s="459"/>
      <c r="L18" s="460"/>
      <c r="M18" s="460"/>
    </row>
    <row r="19" spans="1:14" ht="25.5" customHeight="1">
      <c r="A19" s="458"/>
      <c r="B19" s="132" t="s">
        <v>23</v>
      </c>
      <c r="C19" s="60" t="s">
        <v>476</v>
      </c>
      <c r="D19" s="6"/>
      <c r="E19" s="108" t="str">
        <f>IF(AND(OR(C17=Constants!A2,C17=Constants!A3),C19&lt;&gt;"G1 Main Hull"),"  Must Use G1 Main Hull",IF(C19="Other: AFT","Please input custom hull length in cell D18",""))</f>
        <v/>
      </c>
      <c r="F19" s="107"/>
      <c r="G19" s="133"/>
      <c r="H19" s="474"/>
      <c r="I19" s="130" t="s">
        <v>24</v>
      </c>
      <c r="J19" s="131"/>
      <c r="K19" s="459"/>
      <c r="L19" s="460"/>
      <c r="M19" s="460"/>
      <c r="N19" s="134"/>
    </row>
    <row r="20" spans="1:14" ht="25.5" customHeight="1">
      <c r="A20" s="458"/>
      <c r="B20" s="132" t="s">
        <v>25</v>
      </c>
      <c r="C20" s="61" t="s">
        <v>472</v>
      </c>
      <c r="D20" s="448" t="str">
        <f>IF(AND(OR(C17=Constants!A2,C17=Constants!A3),C20&lt;&gt;"G1 Science Bay"),"  Must Use G1 Science Bay",IF(C20="Other: Primary","Please input custom hull length in cell D19 including stiffener rings",""))</f>
        <v/>
      </c>
      <c r="E20" s="449"/>
      <c r="F20" s="107"/>
      <c r="G20" s="133"/>
      <c r="H20" s="474"/>
      <c r="I20" s="130" t="s">
        <v>26</v>
      </c>
      <c r="J20" s="131"/>
      <c r="K20" s="459"/>
      <c r="L20" s="460"/>
      <c r="M20" s="460"/>
      <c r="N20" s="135"/>
    </row>
    <row r="21" spans="1:14" ht="25.5" customHeight="1">
      <c r="A21" s="458"/>
      <c r="B21" s="132" t="s">
        <v>27</v>
      </c>
      <c r="C21" s="60" t="s">
        <v>236</v>
      </c>
      <c r="D21" s="448" t="str">
        <f>IF(AND(OR(C17=Constants!A2,C17=Constants!A3),C21&lt;&gt;"G1 Science Bay"),"  Must Use G1 Science Bay",IF(C21="Other: Primary","Please input custom hull length in cell D20 including only FWD stiffener ring",""))</f>
        <v/>
      </c>
      <c r="E21" s="449"/>
      <c r="F21" s="107"/>
      <c r="G21" s="133"/>
      <c r="H21" s="474"/>
      <c r="I21" s="136"/>
      <c r="J21" s="131"/>
      <c r="K21" s="314"/>
      <c r="L21"/>
      <c r="M21"/>
    </row>
    <row r="22" spans="1:14" ht="25.5" customHeight="1">
      <c r="A22" s="458"/>
      <c r="B22" s="132" t="s">
        <v>28</v>
      </c>
      <c r="C22" s="61"/>
      <c r="D22" s="305" t="str">
        <f>IF(Constants!S2=TRUE,"  Only check if working with G2 glider","")</f>
        <v/>
      </c>
      <c r="E22" s="305"/>
      <c r="F22" s="5"/>
      <c r="H22" s="474"/>
      <c r="I22" s="138"/>
      <c r="J22" s="139"/>
      <c r="K22" s="314"/>
      <c r="L22"/>
      <c r="M22"/>
    </row>
    <row r="23" spans="1:14" ht="25.5" customHeight="1">
      <c r="A23" s="458"/>
      <c r="B23" s="132" t="s">
        <v>29</v>
      </c>
      <c r="C23" s="61"/>
      <c r="D23" s="306"/>
      <c r="E23" s="306"/>
      <c r="F23" s="5"/>
      <c r="H23" s="474"/>
      <c r="I23" s="138"/>
      <c r="J23" s="139"/>
      <c r="K23" s="314"/>
      <c r="L23"/>
      <c r="M23"/>
    </row>
    <row r="24" spans="1:14" ht="25.5" customHeight="1">
      <c r="A24" s="458"/>
      <c r="B24" s="132" t="s">
        <v>30</v>
      </c>
      <c r="C24" s="61"/>
      <c r="D24" s="306"/>
      <c r="E24" s="306"/>
      <c r="F24" s="5"/>
      <c r="H24" s="474"/>
      <c r="I24" s="138"/>
      <c r="J24" s="139">
        <v>0</v>
      </c>
      <c r="K24" s="314"/>
      <c r="L24"/>
      <c r="M24"/>
    </row>
    <row r="25" spans="1:14" ht="25.5" customHeight="1" thickBot="1">
      <c r="A25" s="458"/>
      <c r="B25" s="132" t="s">
        <v>31</v>
      </c>
      <c r="C25" s="61"/>
      <c r="D25" s="306"/>
      <c r="E25" s="306"/>
      <c r="F25" s="5"/>
      <c r="H25" s="474"/>
      <c r="I25" s="140" t="s">
        <v>32</v>
      </c>
      <c r="J25" s="316">
        <f>SUM(J16:J24)</f>
        <v>50000</v>
      </c>
      <c r="K25" s="314"/>
      <c r="L25"/>
      <c r="M25"/>
    </row>
    <row r="26" spans="1:14" ht="25.5" customHeight="1" thickBot="1">
      <c r="A26" s="458"/>
      <c r="B26" s="123" t="s">
        <v>33</v>
      </c>
      <c r="C26" s="60" t="s">
        <v>182</v>
      </c>
      <c r="D26" s="306"/>
      <c r="E26" s="306"/>
      <c r="F26" s="5"/>
      <c r="H26" s="474"/>
      <c r="I26" s="492"/>
      <c r="J26" s="493"/>
      <c r="K26" s="314"/>
      <c r="L26"/>
      <c r="M26"/>
    </row>
    <row r="27" spans="1:14" ht="25.5" customHeight="1">
      <c r="A27" s="458"/>
      <c r="B27" s="132" t="s">
        <v>34</v>
      </c>
      <c r="C27" s="60" t="s">
        <v>182</v>
      </c>
      <c r="D27" s="307"/>
      <c r="E27" s="306"/>
      <c r="F27" s="5"/>
      <c r="H27" s="474"/>
      <c r="I27" s="141" t="s">
        <v>35</v>
      </c>
      <c r="J27" s="142">
        <v>9906.4</v>
      </c>
      <c r="K27" s="314"/>
      <c r="L27"/>
      <c r="M27"/>
    </row>
    <row r="28" spans="1:14" ht="25.5" customHeight="1">
      <c r="A28" s="458"/>
      <c r="B28" s="132" t="s">
        <v>36</v>
      </c>
      <c r="C28" s="62" t="s">
        <v>37</v>
      </c>
      <c r="D28" s="448" t="str">
        <f>IF(AND(Constants!$M$2=TRUE,Constants!$M$4=TRUE),"Cannot have dummy weight and thruster installed simultaneously","")</f>
        <v/>
      </c>
      <c r="E28" s="449"/>
      <c r="F28" s="5"/>
      <c r="H28" s="474"/>
      <c r="I28" s="138" t="s">
        <v>38</v>
      </c>
      <c r="J28" s="139">
        <v>8900</v>
      </c>
      <c r="K28" s="314"/>
      <c r="L28"/>
      <c r="M28"/>
    </row>
    <row r="29" spans="1:14" ht="25.5" customHeight="1">
      <c r="A29" s="458"/>
      <c r="B29" s="132" t="s">
        <v>39</v>
      </c>
      <c r="C29" s="62"/>
      <c r="D29" s="307"/>
      <c r="E29" s="306"/>
      <c r="F29" s="5"/>
      <c r="H29" s="474"/>
      <c r="I29" s="138" t="s">
        <v>40</v>
      </c>
      <c r="J29" s="139"/>
      <c r="K29" s="314"/>
      <c r="L29"/>
      <c r="M29"/>
    </row>
    <row r="30" spans="1:14" ht="25.5" customHeight="1" thickBot="1">
      <c r="A30" s="480" t="s">
        <v>41</v>
      </c>
      <c r="B30" s="481"/>
      <c r="C30" s="74">
        <v>0.24</v>
      </c>
      <c r="D30" s="306"/>
      <c r="E30" s="306"/>
      <c r="F30" s="5"/>
      <c r="H30" s="475"/>
      <c r="I30" s="138" t="s">
        <v>42</v>
      </c>
      <c r="J30" s="139">
        <v>588.79999999999995</v>
      </c>
      <c r="K30" s="314"/>
      <c r="L30"/>
      <c r="M30"/>
    </row>
    <row r="31" spans="1:14" ht="17.649999999999999" customHeight="1" thickBot="1">
      <c r="A31" s="483" t="s">
        <v>43</v>
      </c>
      <c r="B31" s="484"/>
      <c r="C31" s="310">
        <f>IF(C17=Constants!A2,Constants!B2,IF(C17=Constants!A3,Constants!B3,IF(C17=Constants!A4,Constants!B4,IF(C17=Constants!A5,Constants!B5,IF(C17=Constants!A9,Constants!B9,IF(C17=Constants!A6,Constants!B6,IF(C17=Constants!A7,Constants!B7,IF(C17=Constants!A8,Constants!B8,"Please Select Glider Type"))))))))</f>
        <v>10.398</v>
      </c>
      <c r="D31" s="7" t="s">
        <v>44</v>
      </c>
      <c r="E31" s="7"/>
      <c r="F31" s="5"/>
      <c r="H31" s="143"/>
      <c r="I31" s="144" t="s">
        <v>45</v>
      </c>
      <c r="J31" s="427">
        <f>'G1'!C18+'G1'!C19+'G2'!C18+'G2'!C19+'G3'!C18+'G3'!C19+'G3 (External Only)'!C18+'G3 (External Only)'!C19</f>
        <v>0</v>
      </c>
      <c r="K31" s="305" t="str">
        <f>IF(COUNT('G1'!C18,'G1'!C19,'G2'!C18,'G2'!C19,'G3'!C18,'G3'!C19,'G3 (External Only)'!C18,'G3 (External Only)'!C19)&gt;2,"Error: tank scale readings found for multiple glider types","&lt;-- Sum of fwd &amp; aft scale readings (glider must be completely submerged)")</f>
        <v>&lt;-- Sum of fwd &amp; aft scale readings (glider must be completely submerged)</v>
      </c>
      <c r="L31"/>
      <c r="M31"/>
    </row>
    <row r="32" spans="1:14" ht="15.75" customHeight="1" thickBot="1">
      <c r="A32" s="463" t="s">
        <v>46</v>
      </c>
      <c r="B32" s="455"/>
      <c r="C32" s="82">
        <f>C31+C30+Constants!B69+IF(C18="Other",#REF!,0)+IF(C19="Other",#REF!,0)+IF(C20="Other",#REF!,0)</f>
        <v>72.054848945669022</v>
      </c>
      <c r="D32" s="7" t="s">
        <v>44</v>
      </c>
      <c r="E32" s="5"/>
      <c r="F32" s="5"/>
      <c r="H32" s="145"/>
      <c r="I32" s="146" t="s">
        <v>47</v>
      </c>
      <c r="J32" s="317">
        <f>J25/1000</f>
        <v>50</v>
      </c>
      <c r="K32" s="305" t="s">
        <v>48</v>
      </c>
      <c r="L32" s="315"/>
      <c r="M32"/>
    </row>
    <row r="33" spans="1:14" ht="15.75" customHeight="1" thickBot="1">
      <c r="C33" s="5"/>
      <c r="D33" s="5"/>
      <c r="E33" s="5"/>
      <c r="F33"/>
      <c r="G33" s="1"/>
      <c r="H33" s="147"/>
      <c r="I33" s="148" t="s">
        <v>49</v>
      </c>
      <c r="J33" s="318">
        <f>((J32*1000)-J31)/C47</f>
        <v>48.822447795905191</v>
      </c>
      <c r="K33" s="314"/>
      <c r="L33"/>
      <c r="M33"/>
    </row>
    <row r="34" spans="1:14" ht="15.75" customHeight="1">
      <c r="A34" s="482" t="s">
        <v>50</v>
      </c>
      <c r="B34" s="482"/>
      <c r="C34" s="311">
        <f>IF((C21=Constants!A48),(Constants!T2*1.23),Constants!T2)</f>
        <v>-3.3000000000000005E-4</v>
      </c>
      <c r="D34" s="7" t="str">
        <f>IF((C21=Constants!A48),"x 1.23 compressibility factor for extended bay","Litres/metre")</f>
        <v>Litres/metre</v>
      </c>
      <c r="E34" s="5"/>
      <c r="F34"/>
      <c r="G34" s="1"/>
      <c r="H34" s="149"/>
      <c r="I34" s="150"/>
      <c r="J34" s="151"/>
      <c r="K34" s="152"/>
      <c r="L34" s="151"/>
      <c r="M34" s="151"/>
      <c r="N34" s="151"/>
    </row>
    <row r="35" spans="1:14" ht="43.5" customHeight="1">
      <c r="A35" s="487" t="s">
        <v>51</v>
      </c>
      <c r="B35" s="488"/>
      <c r="C35" s="153" t="s">
        <v>52</v>
      </c>
      <c r="D35" s="5"/>
      <c r="E35" s="5"/>
      <c r="F35" s="423"/>
      <c r="H35" s="87"/>
    </row>
    <row r="36" spans="1:14" ht="15.75" customHeight="1">
      <c r="A36" s="485" t="s">
        <v>49</v>
      </c>
      <c r="B36" s="486"/>
      <c r="C36" s="312">
        <f>IF(C35="Calculated",C32,IF(C35 = "Weight in water",J33,"Choose Volume Calculation Method"))</f>
        <v>48.822447795905191</v>
      </c>
      <c r="D36" s="5"/>
      <c r="E36" s="454"/>
      <c r="F36" s="407"/>
      <c r="G36" s="154"/>
      <c r="H36" s="158"/>
    </row>
    <row r="37" spans="1:14" ht="18" customHeight="1">
      <c r="A37" s="482" t="s">
        <v>53</v>
      </c>
      <c r="B37" s="482"/>
      <c r="C37" s="313">
        <f>Constants!U2</f>
        <v>5.3499999999999999E-5</v>
      </c>
      <c r="D37" s="7" t="s">
        <v>54</v>
      </c>
      <c r="E37" s="454"/>
      <c r="F37" s="407"/>
      <c r="G37" s="154"/>
      <c r="H37" s="87"/>
    </row>
    <row r="38" spans="1:14" ht="40.5" customHeight="1">
      <c r="A38" s="485" t="s">
        <v>55</v>
      </c>
      <c r="B38" s="486"/>
      <c r="C38" s="155" t="s">
        <v>252</v>
      </c>
      <c r="D38" s="308">
        <f>VLOOKUP(C38,Constants!A93:B99,2)</f>
        <v>1</v>
      </c>
      <c r="E38" s="421" t="str">
        <f>IF(C38="NOC Corrected",0,"Are you sure? With great power comes great responsibility…")</f>
        <v>Are you sure? With great power comes great responsibility…</v>
      </c>
      <c r="F38" s="309"/>
      <c r="G38" s="156"/>
      <c r="H38" s="1"/>
    </row>
    <row r="39" spans="1:14" ht="18.75" customHeight="1">
      <c r="A39" s="425"/>
      <c r="B39" s="425"/>
      <c r="C39" s="428"/>
      <c r="D39" s="5"/>
      <c r="E39" s="5"/>
      <c r="F39" s="5"/>
      <c r="G39" s="429"/>
      <c r="H39"/>
      <c r="I39"/>
      <c r="J39"/>
      <c r="K39"/>
      <c r="L39"/>
      <c r="M39"/>
      <c r="N39"/>
    </row>
    <row r="40" spans="1:14" ht="15.75" customHeight="1">
      <c r="A40" s="5"/>
      <c r="B40" s="5"/>
      <c r="C40" s="426" t="s">
        <v>461</v>
      </c>
      <c r="D40" s="372"/>
      <c r="E40" s="426" t="s">
        <v>57</v>
      </c>
      <c r="F40" s="429"/>
      <c r="G40" s="7" t="s">
        <v>58</v>
      </c>
      <c r="H40" s="5"/>
      <c r="I40" s="5"/>
      <c r="J40"/>
      <c r="K40" s="429" t="s">
        <v>59</v>
      </c>
      <c r="L40" s="429"/>
      <c r="M40" s="7" t="s">
        <v>58</v>
      </c>
      <c r="N40" s="5"/>
    </row>
    <row r="41" spans="1:14" ht="15.75" customHeight="1">
      <c r="A41" s="450" t="s">
        <v>60</v>
      </c>
      <c r="B41" s="451"/>
      <c r="C41" s="63">
        <v>21.959</v>
      </c>
      <c r="D41" s="430" t="s">
        <v>61</v>
      </c>
      <c r="E41" s="63">
        <v>20.76</v>
      </c>
      <c r="F41" s="430" t="s">
        <v>62</v>
      </c>
      <c r="G41" s="431">
        <f>IF(E40="Target Tank",0,(C36*C37*(E41-C41)*E47))</f>
        <v>-3.2098519722466201</v>
      </c>
      <c r="H41" s="5" t="s">
        <v>63</v>
      </c>
      <c r="I41" s="5"/>
      <c r="J41" s="407" t="s">
        <v>60</v>
      </c>
      <c r="K41" s="63"/>
      <c r="L41" s="430" t="s">
        <v>64</v>
      </c>
      <c r="M41" s="431">
        <f>C36*C37*(K41-C41)*K47</f>
        <v>-57.630889822748927</v>
      </c>
      <c r="N41" s="5" t="s">
        <v>63</v>
      </c>
    </row>
    <row r="42" spans="1:14" s="159" customFormat="1" ht="15.75" customHeight="1">
      <c r="A42" s="452" t="s">
        <v>469</v>
      </c>
      <c r="B42" s="453"/>
      <c r="C42" s="442"/>
      <c r="D42" s="5" t="s">
        <v>65</v>
      </c>
      <c r="E42" s="441"/>
      <c r="F42" s="7" t="s">
        <v>66</v>
      </c>
      <c r="G42" s="433"/>
      <c r="H42" s="7"/>
      <c r="I42" s="7"/>
      <c r="J42" s="432" t="s">
        <v>67</v>
      </c>
      <c r="K42" s="442"/>
      <c r="L42" s="7" t="s">
        <v>68</v>
      </c>
      <c r="M42" s="433"/>
      <c r="N42" s="7"/>
    </row>
    <row r="43" spans="1:14" s="159" customFormat="1" ht="15.75" customHeight="1">
      <c r="A43" s="450" t="s">
        <v>468</v>
      </c>
      <c r="B43" s="451"/>
      <c r="C43" s="64"/>
      <c r="D43" s="7" t="s">
        <v>69</v>
      </c>
      <c r="E43" s="441"/>
      <c r="F43" s="7" t="s">
        <v>70</v>
      </c>
      <c r="G43" s="434"/>
      <c r="H43" s="7"/>
      <c r="I43" s="7"/>
      <c r="J43" s="408"/>
      <c r="K43" s="160"/>
      <c r="L43" s="408"/>
      <c r="M43" s="434"/>
      <c r="N43" s="7"/>
    </row>
    <row r="44" spans="1:14" s="159" customFormat="1" ht="15.75" customHeight="1">
      <c r="A44" s="450" t="s">
        <v>75</v>
      </c>
      <c r="B44" s="451"/>
      <c r="C44" s="64">
        <v>34.853000000000002</v>
      </c>
      <c r="D44" s="7" t="s">
        <v>71</v>
      </c>
      <c r="E44" s="64">
        <v>35.479999999999997</v>
      </c>
      <c r="F44" s="7" t="s">
        <v>72</v>
      </c>
      <c r="G44" s="434"/>
      <c r="H44" s="7"/>
      <c r="I44" s="7"/>
      <c r="J44" s="407" t="s">
        <v>73</v>
      </c>
      <c r="K44" s="110">
        <v>1000</v>
      </c>
      <c r="L44" s="7" t="s">
        <v>74</v>
      </c>
      <c r="M44" s="434"/>
      <c r="N44" s="7"/>
    </row>
    <row r="45" spans="1:14" s="159" customFormat="1" ht="15.75" customHeight="1">
      <c r="A45" s="450" t="s">
        <v>77</v>
      </c>
      <c r="B45" s="451"/>
      <c r="C45" s="435">
        <f>IF(C43,((0.008+((C41-15)/(1+0.0162*(C41-15)))*0.0005)+(SQRT(C43/(4.2914*(0.6766097+C41*(0.0200564+C41*(0.0001104259+C41*(-0.00000069698+C41*0.0000000010031)))))))*((-0.1692+((C41-15)/(1+0.0162*(C41-15)))*-0.0056)+(SQRT(C43/(4.2914*(0.6766097+C41*(0.0200564+C41*(0.0001104259+C41*(-0.00000069698+C41*0.0000000010031)))))))*((25.3851+((C41-15)/(1+0.0162*(C41-15)))*-0.0066)+(SQRT(C43/(4.2914*(0.6766097+C41*(0.0200564+C41*(0.0001104259+C41*(-0.00000069698+C41*0.0000000010031)))))))*((14.0941+((C41-15)/(1+0.0162*(C41-15)))*-0.0375)+(SQRT(C43/(4.2914*(0.6766097+C41*(0.0200564+C41*(0.0001104259+C41*(-0.00000069698+C41*0.0000000010031)))))))*((-7.0261+((C41-15)/(1+0.0162*(C41-15)))*0.0636)+(SQRT(C43/(4.2914*(0.6766097+C41*(0.0200564+C41*(0.0001104259+C41*(-0.00000069698+C41*0.0000000010031)))))))*((2.7081+((C41-15)/(1+0.0162*(C41-15)))*-0.0144))))))),C44)</f>
        <v>34.853000000000002</v>
      </c>
      <c r="D45" s="7" t="s">
        <v>71</v>
      </c>
      <c r="E45" s="434"/>
      <c r="F45" s="7"/>
      <c r="G45" s="434"/>
      <c r="H45" s="408"/>
      <c r="I45" s="408"/>
      <c r="J45" s="407" t="s">
        <v>75</v>
      </c>
      <c r="K45" s="111"/>
      <c r="L45" s="7" t="s">
        <v>76</v>
      </c>
      <c r="M45" s="434"/>
      <c r="N45" s="7"/>
    </row>
    <row r="46" spans="1:14" ht="15.75" customHeight="1">
      <c r="A46" s="450" t="s">
        <v>467</v>
      </c>
      <c r="B46" s="451"/>
      <c r="C46" s="436">
        <f>IF(C43,(((0.008+((C41-15)/(1+0.0162*(C41-15)))*0.0005)+(SQRT(C43/(4.2914*(0.6766097+C41*(0.0200564+C41*(0.0001104259+C41*(-0.00000069698+C41*0.0000000010031)))))))*((-0.1692+((C41-15)/(1+0.0162*(C41-15)))*-0.0056)+(SQRT(C43/(4.2914*(0.6766097+C41*(0.0200564+C41*(0.0001104259+C41*(-0.00000069698+C41*0.0000000010031)))))))*((25.3851+((C41-15)/(1+0.0162*(C41-15)))*-0.0066)+(SQRT(C43/(4.2914*(0.6766097+C41*(0.0200564+C41*(0.0001104259+C41*(-0.00000069698+C41*0.0000000010031)))))))*((14.0941+((C41-15)/(1+0.0162*(C41-15)))*-0.0375)+(SQRT(C43/(4.2914*(0.6766097+C41*(0.0200564+C41*(0.0001104259+C41*(-0.00000069698+C41*0.0000000010031)))))))*((-7.0261+((C41-15)/(1+0.0162*(C41-15)))*0.0636)+(SQRT(C43/(4.2914*(0.6766097+C41*(0.0200564+C41*(0.0001104259+C41*(-0.00000069698+C41*0.0000000010031)))))))*((2.7081+((C41-15)/(1+0.0162*(C41-15)))*-0.0144))))))))*D38,(C44*D38))</f>
        <v>34.853000000000002</v>
      </c>
      <c r="D46" s="5" t="s">
        <v>71</v>
      </c>
      <c r="E46" s="436">
        <f>IF(E40="Target Tank",C46,IF(E43,((0.008+((E41-15)/(1+0.0162*(E41-15)))*0.0005)+(SQRT(E43/(4.2914*(0.6766097+E41*(0.0200564+E41*(0.0001104259+E41*(-0.00000069698+E41*0.0000000010031)))))))*((-0.1692+((E41-15)/(1+0.0162*(E41-15)))*-0.0056)+(SQRT(E43/(4.2914*(0.6766097+E41*(0.0200564+E41*(0.0001104259+E41*(-0.00000069698+E41*0.0000000010031)))))))*((25.3851+((E41-15)/(1+0.0162*(E41-15)))*-0.0066)+(SQRT(E43/(4.2914*(0.6766097+E41*(0.0200564+E41*(0.0001104259+E41*(-0.00000069698+E41*0.0000000010031)))))))*((14.0941+((E41-15)/(1+0.0162*(E41-15)))*-0.0375)+(SQRT(E43/(4.2914*(0.6766097+E41*(0.0200564+E41*(0.0001104259+E41*(-0.00000069698+E41*0.0000000010031)))))))*((-7.0261+((E41-15)/(1+0.0162*(E41-15)))*0.0636)+(SQRT(E43/(4.2914*(0.6766097+E41*(0.0200564+E41*(0.0001104259+E41*(-0.00000069698+E41*0.0000000010031)))))))*((2.7081+((E41-15)/(1+0.0162*(E41-15)))*-0.0144))))))),E44))</f>
        <v>35.479999999999997</v>
      </c>
      <c r="F46" s="5" t="s">
        <v>71</v>
      </c>
      <c r="G46" s="433"/>
      <c r="H46" s="5"/>
      <c r="I46" s="5"/>
      <c r="J46" s="407" t="s">
        <v>78</v>
      </c>
      <c r="K46" s="436">
        <f>K44*0.980638</f>
        <v>980.63800000000003</v>
      </c>
      <c r="L46" s="7" t="s">
        <v>79</v>
      </c>
      <c r="M46" s="433"/>
      <c r="N46" s="5"/>
    </row>
    <row r="47" spans="1:14" ht="15.75" customHeight="1">
      <c r="A47" s="450" t="s">
        <v>80</v>
      </c>
      <c r="B47" s="451"/>
      <c r="C47" s="435">
        <f>IF(C42,C42,(999.842594+C41*(6.793952*10^-2+C41*(-9.09529*10^-3+C41*(1.001685*10^-4+C41*(-1.120083*10^-6+C41*6.536332*10^-9)))))+C46*((0.824493+C41*(-4.0899*10^-3+C41*(7.6438*10^-5+C41*(-8.2467*10^-7+C41*5.3875*10^-9))))+(-5.72466*10^-3+C41*(1.0227*10^-4-C41*1.6546*10^-6))*SQRT(C46)+4.8314*10^-4*C46))</f>
        <v>1024.1190734437853</v>
      </c>
      <c r="D47" s="5" t="s">
        <v>65</v>
      </c>
      <c r="E47" s="435">
        <f>IF(E40="Target Tank",C47,IF(E42,E42,(999.842594+E41*(6.793952*10^-2+E41*(-9.09529*10^-3+E41*(1.001685*10^-4+E41*(-1.120083*10^-6+E41*6.536332*10^-9)))))+E46*((0.824493+E41*(-4.0899*10^-3+E41*(7.6438*10^-5+E41*(-8.2467*10^-7+E41*5.3875*10^-9))))+(-5.72466*10^-3+E41*(1.0227*10^-4-E41*1.6546*10^-6))*SQRT(E46)+4.8314*10^-4*E46)))</f>
        <v>1024.9259515979579</v>
      </c>
      <c r="F47" s="5" t="s">
        <v>65</v>
      </c>
      <c r="G47" s="431">
        <f>(E47-C47)*C36</f>
        <v>39.393766559749892</v>
      </c>
      <c r="H47" s="5" t="s">
        <v>63</v>
      </c>
      <c r="I47" s="5"/>
      <c r="J47" s="407" t="s">
        <v>81</v>
      </c>
      <c r="K47" s="435">
        <f>IF(K42,K42,DensityCalc!G96)</f>
        <v>1004.7764204065011</v>
      </c>
      <c r="L47" s="5" t="s">
        <v>65</v>
      </c>
      <c r="M47" s="431">
        <f>(K47-C47)*C36</f>
        <v>-944.35566814711524</v>
      </c>
      <c r="N47" s="5" t="s">
        <v>63</v>
      </c>
    </row>
    <row r="48" spans="1:14" ht="31.5" customHeight="1">
      <c r="A48" s="437"/>
      <c r="B48" s="407"/>
      <c r="C48" s="438" t="str">
        <f>IF((COUNT(C42:C44)&gt;1),"Too many inputs","")</f>
        <v/>
      </c>
      <c r="D48" s="5"/>
      <c r="E48" s="438" t="str">
        <f>IF((COUNT(E42:E44)&gt;1),"Too many inputs","")</f>
        <v/>
      </c>
      <c r="F48" s="439" t="s">
        <v>82</v>
      </c>
      <c r="G48" s="440">
        <f>SUM(G41:G47)</f>
        <v>36.183914587503274</v>
      </c>
      <c r="H48" s="5" t="s">
        <v>63</v>
      </c>
      <c r="I48" s="5"/>
      <c r="J48"/>
      <c r="K48" s="438" t="str">
        <f>IF((COUNT(K42,K45)&gt;1),"Too many inputs","")</f>
        <v/>
      </c>
      <c r="L48" s="439" t="s">
        <v>82</v>
      </c>
      <c r="M48" s="440">
        <f>SUM(M41:M47)</f>
        <v>-1001.9865579698642</v>
      </c>
      <c r="N48" s="5" t="s">
        <v>63</v>
      </c>
    </row>
    <row r="49" spans="1:14" ht="15.75" customHeight="1">
      <c r="A49" s="447"/>
      <c r="B49" s="447"/>
      <c r="C49" s="5"/>
      <c r="D49" s="5"/>
      <c r="E49" s="5"/>
      <c r="F49" s="5"/>
      <c r="G49" s="5"/>
      <c r="H49" s="5"/>
      <c r="I49"/>
      <c r="J49"/>
      <c r="K49"/>
      <c r="L49"/>
      <c r="M49"/>
      <c r="N49"/>
    </row>
    <row r="50" spans="1:14" ht="15" customHeight="1">
      <c r="A50" s="455" t="s">
        <v>83</v>
      </c>
      <c r="B50" s="456"/>
      <c r="C50" s="65" t="s">
        <v>177</v>
      </c>
      <c r="D50" s="489" t="s">
        <v>84</v>
      </c>
      <c r="E50" s="489"/>
      <c r="F50" s="494" t="s">
        <v>465</v>
      </c>
      <c r="G50" s="495"/>
      <c r="H50" s="496"/>
      <c r="I50"/>
      <c r="L50" s="126" t="s">
        <v>85</v>
      </c>
      <c r="M50" s="288">
        <f>C36+(C34*K44)</f>
        <v>48.492447795905193</v>
      </c>
      <c r="N50" s="87" t="s">
        <v>86</v>
      </c>
    </row>
    <row r="51" spans="1:14" ht="15" customHeight="1">
      <c r="A51" s="455" t="s">
        <v>87</v>
      </c>
      <c r="B51" s="456"/>
      <c r="C51" s="319" t="str">
        <f>IF((C50="Lithium"),"Lithium Pitch Pack",IF((C50="Alkaline"),"Alkaline Pitch Pack",IF((C50="Rechargeable"),"Rechargeable Pitch Pack","")))</f>
        <v>Rechargeable Pitch Pack</v>
      </c>
      <c r="D51" s="446">
        <f>J28/1000</f>
        <v>8.9</v>
      </c>
      <c r="E51" s="446"/>
      <c r="F51" s="5"/>
      <c r="G51" s="407" t="s">
        <v>60</v>
      </c>
      <c r="H51" s="63">
        <v>21.811</v>
      </c>
      <c r="I51" s="424" t="s">
        <v>61</v>
      </c>
    </row>
    <row r="52" spans="1:14" ht="15" customHeight="1">
      <c r="A52" s="476" t="s">
        <v>88</v>
      </c>
      <c r="B52" s="477"/>
      <c r="C52" s="109" t="s">
        <v>179</v>
      </c>
      <c r="D52" s="478">
        <f>J29/1000</f>
        <v>0</v>
      </c>
      <c r="E52" s="479"/>
      <c r="F52" s="5"/>
      <c r="G52" s="407" t="s">
        <v>456</v>
      </c>
      <c r="H52" s="63">
        <v>5.1079999999999997</v>
      </c>
      <c r="I52" s="408" t="s">
        <v>69</v>
      </c>
    </row>
    <row r="53" spans="1:14" ht="15" customHeight="1">
      <c r="A53" s="455" t="s">
        <v>89</v>
      </c>
      <c r="B53" s="456"/>
      <c r="C53" s="65" t="s">
        <v>186</v>
      </c>
      <c r="D53" s="445">
        <f>J27/1000</f>
        <v>9.9063999999999997</v>
      </c>
      <c r="E53" s="446"/>
      <c r="F53" s="5"/>
      <c r="G53" s="407" t="s">
        <v>77</v>
      </c>
      <c r="H53" s="436">
        <f>IF(H52,((0.008+((H51-15)/(1+0.0162*(H51-15)))*0.0005)+(SQRT(H52/(4.2914*(0.6766097+H51*(0.0200564+H51*(0.0001104259+H51*(-0.00000069698+H51*0.0000000010031)))))))*((-0.1692+((H51-15)/(1+0.0162*(H51-15)))*-0.0056)+(SQRT(H52/(4.2914*(0.6766097+H51*(0.0200564+H51*(0.0001104259+H51*(-0.00000069698+H51*0.0000000010031)))))))*((25.3851+((H51-15)/(1+0.0162*(H51-15)))*-0.0066)+(SQRT(H52/(4.2914*(0.6766097+H51*(0.0200564+H51*(0.0001104259+H51*(-0.00000069698+H51*0.0000000010031)))))))*((14.0941+((H51-15)/(1+0.0162*(H51-15)))*-0.0375)+(SQRT(H52/(4.2914*(0.6766097+H51*(0.0200564+H51*(0.0001104259+H51*(-0.00000069698+H51*0.0000000010031)))))))*((-7.0261+((H51-15)/(1+0.0162*(H51-15)))*0.0636)+(SQRT(H52/(4.2914*(0.6766097+H51*(0.0200564+H51*(0.0001104259+H51*(-0.00000069698+H51*0.0000000010031)))))))*((2.7081+((H51-15)/(1+0.0162*(H51-15)))*-0.0144))))))),0)</f>
        <v>36.043377946673708</v>
      </c>
      <c r="I53" t="s">
        <v>71</v>
      </c>
    </row>
    <row r="54" spans="1:14" ht="15" customHeight="1">
      <c r="A54" s="455" t="s">
        <v>90</v>
      </c>
      <c r="B54" s="456"/>
      <c r="C54" s="66" t="s">
        <v>199</v>
      </c>
      <c r="D54" s="446">
        <f>J30/1000</f>
        <v>0.58879999999999999</v>
      </c>
      <c r="E54" s="446"/>
      <c r="F54" s="450" t="s">
        <v>467</v>
      </c>
      <c r="G54" s="451"/>
      <c r="H54" s="436">
        <f>H53*D38</f>
        <v>36.043377946673708</v>
      </c>
      <c r="I54" t="s">
        <v>65</v>
      </c>
    </row>
    <row r="55" spans="1:14" ht="14.45" customHeight="1">
      <c r="A55" s="161"/>
      <c r="B55" s="157"/>
      <c r="C55" s="157"/>
      <c r="D55" s="372"/>
      <c r="E55" s="372"/>
      <c r="F55" s="5"/>
      <c r="G55" s="407" t="s">
        <v>80</v>
      </c>
      <c r="H55" s="436">
        <f>IF(H52,(999.842594+H51*(6.793952*10^-2+H51*(-9.09529*10^-3+H51*(1.001685*10^-4+H51*(-1.120083*10^-6+H51*6.536332*10^-9)))))+H53*((0.824493+H51*(-4.0899*10^-3+H51*(7.6438*10^-5+H51*(-8.2467*10^-7+H51*5.3875*10^-9))))+(-5.72466*10^-3+H51*(1.0227*10^-4-H51*1.6546*10^-6))*SQRT(H53)+4.8314*10^-4*H53),0)</f>
        <v>1025.0654372950075</v>
      </c>
      <c r="I55" t="s">
        <v>65</v>
      </c>
    </row>
    <row r="56" spans="1:14" ht="15" customHeight="1">
      <c r="A56" s="162"/>
      <c r="B56" s="157"/>
      <c r="C56" s="157"/>
      <c r="D56" s="372"/>
      <c r="E56" s="372"/>
      <c r="F56" s="5"/>
      <c r="G56" s="407" t="s">
        <v>458</v>
      </c>
      <c r="H56" s="288">
        <f>IF(H52,ABS(H51-C41),0)</f>
        <v>0.14799999999999969</v>
      </c>
      <c r="I56" s="424" t="s">
        <v>61</v>
      </c>
    </row>
    <row r="57" spans="1:14" ht="15.75" customHeight="1">
      <c r="A57" s="163"/>
      <c r="B57" s="163"/>
      <c r="D57" s="5"/>
      <c r="E57" s="5"/>
      <c r="F57" s="5"/>
      <c r="G57" s="407" t="s">
        <v>459</v>
      </c>
      <c r="H57" s="288">
        <f>IF(H52,ABS(H53-C45),0)</f>
        <v>1.1903779466737063</v>
      </c>
      <c r="I57" s="408" t="s">
        <v>69</v>
      </c>
    </row>
    <row r="158" spans="1:1">
      <c r="A158" s="164"/>
    </row>
  </sheetData>
  <sheetProtection algorithmName="SHA-512" hashValue="X2qzg5VGWs+nn0BODwJmFfmkI0E5cPliF7CJN6MJfA+2HjlfpUro8CeQe3qTh7bsqBTIkhZ2QzlWWGV4M0LaAw==" saltValue="LALkvvgbtVtH0pYOBBP/PQ==" spinCount="100000" sheet="1" objects="1" scenarios="1"/>
  <dataConsolidate/>
  <mergeCells count="51">
    <mergeCell ref="E14:F16"/>
    <mergeCell ref="E17:F17"/>
    <mergeCell ref="D51:E51"/>
    <mergeCell ref="D20:E20"/>
    <mergeCell ref="I26:J26"/>
    <mergeCell ref="F50:H50"/>
    <mergeCell ref="D54:E54"/>
    <mergeCell ref="A52:B52"/>
    <mergeCell ref="D52:E52"/>
    <mergeCell ref="A30:B30"/>
    <mergeCell ref="A37:B37"/>
    <mergeCell ref="A34:B34"/>
    <mergeCell ref="A31:B31"/>
    <mergeCell ref="A32:B32"/>
    <mergeCell ref="A38:B38"/>
    <mergeCell ref="A35:B35"/>
    <mergeCell ref="A36:B36"/>
    <mergeCell ref="A54:B54"/>
    <mergeCell ref="D50:E50"/>
    <mergeCell ref="F54:G54"/>
    <mergeCell ref="A11:H11"/>
    <mergeCell ref="A18:A29"/>
    <mergeCell ref="K17:M20"/>
    <mergeCell ref="E7:H7"/>
    <mergeCell ref="A7:D7"/>
    <mergeCell ref="A15:B15"/>
    <mergeCell ref="A16:B16"/>
    <mergeCell ref="A17:B17"/>
    <mergeCell ref="A14:B14"/>
    <mergeCell ref="A10:H10"/>
    <mergeCell ref="A8:H8"/>
    <mergeCell ref="A12:H12"/>
    <mergeCell ref="H14:J14"/>
    <mergeCell ref="H15:I15"/>
    <mergeCell ref="H16:H30"/>
    <mergeCell ref="A9:H9"/>
    <mergeCell ref="D53:E53"/>
    <mergeCell ref="A49:B49"/>
    <mergeCell ref="D21:E21"/>
    <mergeCell ref="A47:B47"/>
    <mergeCell ref="A42:B42"/>
    <mergeCell ref="A43:B43"/>
    <mergeCell ref="D28:E28"/>
    <mergeCell ref="E36:E37"/>
    <mergeCell ref="A45:B45"/>
    <mergeCell ref="A44:B44"/>
    <mergeCell ref="A46:B46"/>
    <mergeCell ref="A53:B53"/>
    <mergeCell ref="A50:B50"/>
    <mergeCell ref="A51:B51"/>
    <mergeCell ref="A41:B41"/>
  </mergeCells>
  <phoneticPr fontId="0" type="noConversion"/>
  <conditionalFormatting sqref="C44">
    <cfRule type="expression" dxfId="76" priority="22">
      <formula>IF(($C$40="Tank Water (Tank CTD)"),0,1)</formula>
    </cfRule>
  </conditionalFormatting>
  <conditionalFormatting sqref="A42:C43">
    <cfRule type="expression" dxfId="75" priority="20">
      <formula>IF(($C$40="Tank Water (Tank CTD)"),1,0)</formula>
    </cfRule>
  </conditionalFormatting>
  <conditionalFormatting sqref="E41 E44">
    <cfRule type="expression" dxfId="74" priority="17">
      <formula>IF($E$40="Target Tank",1,0)</formula>
    </cfRule>
  </conditionalFormatting>
  <conditionalFormatting sqref="J40:N47 J49:N50 J48 L48:N48">
    <cfRule type="expression" dxfId="73" priority="16">
      <formula>IF($E$40="Target Tank",1,0)</formula>
    </cfRule>
  </conditionalFormatting>
  <conditionalFormatting sqref="E38">
    <cfRule type="cellIs" dxfId="72" priority="14" operator="between">
      <formula>0</formula>
      <formula>0</formula>
    </cfRule>
  </conditionalFormatting>
  <conditionalFormatting sqref="H56">
    <cfRule type="expression" dxfId="71" priority="6">
      <formula>IF($H$52,0,1)</formula>
    </cfRule>
    <cfRule type="expression" dxfId="70" priority="9">
      <formula>IF(($H$56&lt;0.3),1,0)</formula>
    </cfRule>
    <cfRule type="expression" dxfId="69" priority="10">
      <formula>IF(($H$56&gt;0.3),1,0)</formula>
    </cfRule>
  </conditionalFormatting>
  <conditionalFormatting sqref="H57">
    <cfRule type="expression" dxfId="68" priority="11">
      <formula>IF($H$52,0,1)</formula>
    </cfRule>
    <cfRule type="expression" dxfId="67" priority="12">
      <formula>IF(($H$57&lt;0.3),1,0)</formula>
    </cfRule>
    <cfRule type="expression" dxfId="66" priority="13">
      <formula>IF(($H$57&gt;0.3),1,0)</formula>
    </cfRule>
  </conditionalFormatting>
  <conditionalFormatting sqref="A44:C44">
    <cfRule type="expression" dxfId="65" priority="2">
      <formula>IF(($C$40="Tank Water (Tank CTD)"),0,1)</formula>
    </cfRule>
  </conditionalFormatting>
  <conditionalFormatting sqref="C43">
    <cfRule type="expression" dxfId="64" priority="4">
      <formula>IF(($C$40="Tank Water (Tank CTD)"),1,0)</formula>
    </cfRule>
  </conditionalFormatting>
  <conditionalFormatting sqref="E42:E43">
    <cfRule type="expression" dxfId="63" priority="1">
      <formula>IF(($E$40="Target Surface Water"),1,0)</formula>
    </cfRule>
  </conditionalFormatting>
  <dataValidations count="2">
    <dataValidation type="list" allowBlank="1" showInputMessage="1" promptTitle="Select Nose Configuration" prompt="from drop-down menu" sqref="C54" xr:uid="{00000000-0002-0000-0000-000000000000}">
      <formula1>nose_config</formula1>
    </dataValidation>
    <dataValidation allowBlank="1" showInputMessage="1" promptTitle="Select Pond Wings" prompt="from drop-down menu" sqref="C28" xr:uid="{00000000-0002-0000-0000-000001000000}"/>
  </dataValidations>
  <pageMargins left="0.75" right="0.25" top="0.25" bottom="0.75" header="0.3" footer="0.3"/>
  <pageSetup scale="75" orientation="portrait" horizontalDpi="1200" verticalDpi="1200" r:id="rId1"/>
  <headerFooter alignWithMargins="0"/>
  <ignoredErrors>
    <ignoredError sqref="D51:D5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2</xdr:col>
                    <xdr:colOff>1019175</xdr:colOff>
                    <xdr:row>21</xdr:row>
                    <xdr:rowOff>76200</xdr:rowOff>
                  </from>
                  <to>
                    <xdr:col>2</xdr:col>
                    <xdr:colOff>1238250</xdr:colOff>
                    <xdr:row>21</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2</xdr:col>
                    <xdr:colOff>1019175</xdr:colOff>
                    <xdr:row>22</xdr:row>
                    <xdr:rowOff>76200</xdr:rowOff>
                  </from>
                  <to>
                    <xdr:col>2</xdr:col>
                    <xdr:colOff>1238250</xdr:colOff>
                    <xdr:row>22</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2</xdr:col>
                    <xdr:colOff>1009650</xdr:colOff>
                    <xdr:row>23</xdr:row>
                    <xdr:rowOff>95250</xdr:rowOff>
                  </from>
                  <to>
                    <xdr:col>2</xdr:col>
                    <xdr:colOff>1219200</xdr:colOff>
                    <xdr:row>23</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2</xdr:col>
                    <xdr:colOff>1009650</xdr:colOff>
                    <xdr:row>28</xdr:row>
                    <xdr:rowOff>19050</xdr:rowOff>
                  </from>
                  <to>
                    <xdr:col>2</xdr:col>
                    <xdr:colOff>1219200</xdr:colOff>
                    <xdr:row>29</xdr:row>
                    <xdr:rowOff>19050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2</xdr:col>
                    <xdr:colOff>342900</xdr:colOff>
                    <xdr:row>27</xdr:row>
                    <xdr:rowOff>57150</xdr:rowOff>
                  </from>
                  <to>
                    <xdr:col>2</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2</xdr:col>
                    <xdr:colOff>1276350</xdr:colOff>
                    <xdr:row>27</xdr:row>
                    <xdr:rowOff>57150</xdr:rowOff>
                  </from>
                  <to>
                    <xdr:col>2</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2</xdr:col>
                    <xdr:colOff>1009650</xdr:colOff>
                    <xdr:row>24</xdr:row>
                    <xdr:rowOff>57150</xdr:rowOff>
                  </from>
                  <to>
                    <xdr:col>2</xdr:col>
                    <xdr:colOff>1962150</xdr:colOff>
                    <xdr:row>24</xdr:row>
                    <xdr:rowOff>266700</xdr:rowOff>
                  </to>
                </anchor>
              </controlPr>
            </control>
          </mc:Choice>
        </mc:AlternateContent>
        <mc:AlternateContent xmlns:mc="http://schemas.openxmlformats.org/markup-compatibility/2006">
          <mc:Choice Requires="x14">
            <control shapeId="1129" r:id="rId11" name="Drop Down 105">
              <controlPr defaultSize="0" autoLine="0" autoPict="0">
                <anchor moveWithCells="1">
                  <from>
                    <xdr:col>1</xdr:col>
                    <xdr:colOff>95250</xdr:colOff>
                    <xdr:row>0</xdr:row>
                    <xdr:rowOff>295275</xdr:rowOff>
                  </from>
                  <to>
                    <xdr:col>1</xdr:col>
                    <xdr:colOff>295275</xdr:colOff>
                    <xdr:row>1</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601855D4-29A0-4258-A566-D51AE521FB7D}">
            <xm:f>IF(AND(Constants!$M$2=TRUE,Constants!$M$4=TRUE),1,0)</xm:f>
            <x14:dxf>
              <fill>
                <patternFill>
                  <bgColor rgb="FFFF0000"/>
                </patternFill>
              </fill>
            </x14:dxf>
          </x14:cfRule>
          <xm:sqref>C28</xm:sqref>
        </x14:conditionalFormatting>
        <x14:conditionalFormatting xmlns:xm="http://schemas.microsoft.com/office/excel/2006/main">
          <x14:cfRule type="expression" priority="15" id="{2D2834D2-D433-498E-9114-B284FF3774B8}">
            <xm:f>IF('G1'!$C$44+'G2'!$C$44+'G3'!$C$47+'G3 (External Only)'!$C$37=0,0,1)</xm:f>
            <x14:dxf>
              <fill>
                <patternFill>
                  <bgColor rgb="FFFF0000"/>
                </patternFill>
              </fill>
            </x14:dxf>
          </x14:cfRule>
          <xm:sqref>E14:F17</xm:sqref>
        </x14:conditionalFormatting>
      </x14:conditionalFormattings>
    </ext>
    <ext xmlns:x14="http://schemas.microsoft.com/office/spreadsheetml/2009/9/main" uri="{CCE6A557-97BC-4b89-ADB6-D9C93CAAB3DF}">
      <x14:dataValidations xmlns:xm="http://schemas.microsoft.com/office/excel/2006/main" count="15">
        <x14:dataValidation type="list" allowBlank="1" showInputMessage="1" showErrorMessage="1" promptTitle="Select Battery Type" prompt="from drop-down menu" xr:uid="{00000000-0002-0000-0000-000002000000}">
          <x14:formula1>
            <xm:f>Constants!$D$2:$D$4</xm:f>
          </x14:formula1>
          <xm:sqref>C50</xm:sqref>
        </x14:dataValidation>
        <x14:dataValidation type="list" allowBlank="1" showInputMessage="1" promptTitle="Select Aft Configuration" prompt="from drop-down menu" xr:uid="{00000000-0002-0000-0000-000003000000}">
          <x14:formula1>
            <xm:f>Constants!$E$2:$E$7</xm:f>
          </x14:formula1>
          <xm:sqref>C53</xm:sqref>
        </x14:dataValidation>
        <x14:dataValidation type="list" allowBlank="1" showInputMessage="1" showErrorMessage="1" xr:uid="{00000000-0002-0000-0000-000004000000}">
          <x14:formula1>
            <xm:f>Constants!$F$2:$F$4</xm:f>
          </x14:formula1>
          <xm:sqref>C52</xm:sqref>
        </x14:dataValidation>
        <x14:dataValidation type="list" allowBlank="1" showInputMessage="1" showErrorMessage="1" promptTitle="Volume Calculation Method" prompt="Please select your preferred volume calculation method." xr:uid="{00000000-0002-0000-0000-000005000000}">
          <x14:formula1>
            <xm:f>Constants!$N$2:$N$3</xm:f>
          </x14:formula1>
          <xm:sqref>C35</xm:sqref>
        </x14:dataValidation>
        <x14:dataValidation type="list" allowBlank="1" showInputMessage="1" showErrorMessage="1" xr:uid="{00000000-0002-0000-0000-000006000000}">
          <x14:formula1>
            <xm:f>Constants!$K$2:$K$7</xm:f>
          </x14:formula1>
          <xm:sqref>C27</xm:sqref>
        </x14:dataValidation>
        <x14:dataValidation type="list" allowBlank="1" showInputMessage="1" showErrorMessage="1" xr:uid="{00000000-0002-0000-0000-000007000000}">
          <x14:formula1>
            <xm:f>Constants!$A$38:$A$42</xm:f>
          </x14:formula1>
          <xm:sqref>C18</xm:sqref>
        </x14:dataValidation>
        <x14:dataValidation type="list" allowBlank="1" showInputMessage="1" promptTitle="Select Glider Type" prompt="from drop-down menu" xr:uid="{00000000-0002-0000-0000-000008000000}">
          <x14:formula1>
            <xm:f>Constants!$A$2:$A$8</xm:f>
          </x14:formula1>
          <xm:sqref>C17</xm:sqref>
        </x14:dataValidation>
        <x14:dataValidation type="list" allowBlank="1" showInputMessage="1" showErrorMessage="1" xr:uid="{00000000-0002-0000-0000-000009000000}">
          <x14:formula1>
            <xm:f>Constants!$A$37:$A$41</xm:f>
          </x14:formula1>
          <xm:sqref>C19</xm:sqref>
        </x14:dataValidation>
        <x14:dataValidation type="list" allowBlank="1" showInputMessage="1" showErrorMessage="1" xr:uid="{00000000-0002-0000-0000-00000A000000}">
          <x14:formula1>
            <xm:f>Constants!$A$44:$A$50</xm:f>
          </x14:formula1>
          <xm:sqref>C21</xm:sqref>
        </x14:dataValidation>
        <x14:dataValidation type="list" allowBlank="1" showInputMessage="1" showErrorMessage="1" xr:uid="{00000000-0002-0000-0000-00000B000000}">
          <x14:formula1>
            <xm:f>Constants!$A$44:$A$48</xm:f>
          </x14:formula1>
          <xm:sqref>C20</xm:sqref>
        </x14:dataValidation>
        <x14:dataValidation type="list" allowBlank="1" showInputMessage="1" showErrorMessage="1" promptTitle="Tank salt correction factor" prompt="Please select type of salt used or 'Seawater' for no correction" xr:uid="{00000000-0002-0000-0000-00000C000000}">
          <x14:formula1>
            <xm:f>Constants!$A$93:$A$99</xm:f>
          </x14:formula1>
          <xm:sqref>C38</xm:sqref>
        </x14:dataValidation>
        <x14:dataValidation type="list" allowBlank="1" showInputMessage="1" showErrorMessage="1" xr:uid="{00000000-0002-0000-0000-00000D000000}">
          <x14:formula1>
            <xm:f>Constants!$I$2:$I$4</xm:f>
          </x14:formula1>
          <xm:sqref>C26</xm:sqref>
        </x14:dataValidation>
        <x14:dataValidation type="list" allowBlank="1" showInputMessage="1" showErrorMessage="1" xr:uid="{31825134-8941-451B-B503-CF587FFF7AD6}">
          <x14:formula1>
            <xm:f>Constants!$A$31:$A$32</xm:f>
          </x14:formula1>
          <xm:sqref>E40</xm:sqref>
        </x14:dataValidation>
        <x14:dataValidation type="list" allowBlank="1" showInputMessage="1" showErrorMessage="1" xr:uid="{61CA138A-E35B-4A2B-9E5B-40908E1ED84F}">
          <x14:formula1>
            <xm:f>Constants!$D$28:$D$30</xm:f>
          </x14:formula1>
          <xm:sqref>C40</xm:sqref>
        </x14:dataValidation>
        <x14:dataValidation type="list" allowBlank="1" showInputMessage="1" showErrorMessage="1" xr:uid="{B6B26C5A-5AD5-4931-AD78-EB5FC835731E}">
          <x14:formula1>
            <xm:f>Constants!$E$28:$E$30</xm:f>
          </x14:formula1>
          <xm:sqref>F50:H50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96"/>
  <sheetViews>
    <sheetView topLeftCell="A40" workbookViewId="0">
      <selection activeCell="H40" sqref="H40"/>
    </sheetView>
  </sheetViews>
  <sheetFormatPr defaultRowHeight="12.75"/>
  <cols>
    <col min="7" max="7" width="13.28515625" bestFit="1" customWidth="1"/>
  </cols>
  <sheetData>
    <row r="1" spans="1:5">
      <c r="A1" s="78" t="s">
        <v>91</v>
      </c>
    </row>
    <row r="2" spans="1:5">
      <c r="A2" s="5"/>
    </row>
    <row r="3" spans="1:5">
      <c r="A3" s="78" t="s">
        <v>92</v>
      </c>
    </row>
    <row r="4" spans="1:5">
      <c r="A4" s="5"/>
    </row>
    <row r="5" spans="1:5">
      <c r="A5" s="78" t="s">
        <v>93</v>
      </c>
      <c r="E5" s="79">
        <f>Ballast!K45</f>
        <v>0</v>
      </c>
    </row>
    <row r="6" spans="1:5">
      <c r="A6" s="78" t="s">
        <v>94</v>
      </c>
      <c r="E6" s="79">
        <f>Ballast!K41</f>
        <v>0</v>
      </c>
    </row>
    <row r="7" spans="1:5">
      <c r="A7" s="78" t="s">
        <v>95</v>
      </c>
      <c r="E7" s="79">
        <f>Ballast!K46</f>
        <v>980.63800000000003</v>
      </c>
    </row>
    <row r="8" spans="1:5">
      <c r="A8" s="5"/>
    </row>
    <row r="10" spans="1:5">
      <c r="A10" s="5"/>
    </row>
    <row r="11" spans="1:5">
      <c r="A11" s="78" t="s">
        <v>96</v>
      </c>
    </row>
    <row r="12" spans="1:5">
      <c r="A12" s="5"/>
    </row>
    <row r="13" spans="1:5">
      <c r="A13" s="78" t="s">
        <v>97</v>
      </c>
      <c r="B13">
        <v>999.84259399999996</v>
      </c>
    </row>
    <row r="14" spans="1:5">
      <c r="A14" s="78" t="s">
        <v>98</v>
      </c>
      <c r="B14">
        <v>6.7939520000000003E-2</v>
      </c>
    </row>
    <row r="15" spans="1:5">
      <c r="A15" s="78" t="s">
        <v>99</v>
      </c>
      <c r="B15">
        <v>-9.0952900000000007E-3</v>
      </c>
    </row>
    <row r="16" spans="1:5">
      <c r="A16" s="78" t="s">
        <v>100</v>
      </c>
      <c r="B16">
        <v>1.001685E-4</v>
      </c>
    </row>
    <row r="17" spans="1:2">
      <c r="A17" s="78" t="s">
        <v>101</v>
      </c>
      <c r="B17">
        <v>-1.120083E-6</v>
      </c>
    </row>
    <row r="18" spans="1:2">
      <c r="A18" s="78" t="s">
        <v>102</v>
      </c>
      <c r="B18">
        <v>6.5363319999999997E-9</v>
      </c>
    </row>
    <row r="19" spans="1:2">
      <c r="A19" s="5"/>
    </row>
    <row r="20" spans="1:2">
      <c r="A20" s="78" t="s">
        <v>103</v>
      </c>
      <c r="B20">
        <v>0.82449300000000003</v>
      </c>
    </row>
    <row r="21" spans="1:2">
      <c r="A21" s="78" t="s">
        <v>104</v>
      </c>
      <c r="B21">
        <v>-4.0898999999999996E-3</v>
      </c>
    </row>
    <row r="22" spans="1:2">
      <c r="A22" s="78" t="s">
        <v>105</v>
      </c>
      <c r="B22">
        <v>7.6438000000000002E-5</v>
      </c>
    </row>
    <row r="23" spans="1:2">
      <c r="A23" s="78" t="s">
        <v>106</v>
      </c>
      <c r="B23">
        <v>-8.2467000000000004E-7</v>
      </c>
    </row>
    <row r="24" spans="1:2">
      <c r="A24" s="78" t="s">
        <v>107</v>
      </c>
      <c r="B24">
        <v>5.3875000000000003E-9</v>
      </c>
    </row>
    <row r="25" spans="1:2">
      <c r="A25" s="5"/>
    </row>
    <row r="26" spans="1:2">
      <c r="A26" s="78" t="s">
        <v>108</v>
      </c>
      <c r="B26">
        <v>-5.7246600000000003E-3</v>
      </c>
    </row>
    <row r="27" spans="1:2">
      <c r="A27" s="78" t="s">
        <v>109</v>
      </c>
      <c r="B27">
        <v>1.0226999999999999E-4</v>
      </c>
    </row>
    <row r="28" spans="1:2">
      <c r="A28" s="78" t="s">
        <v>110</v>
      </c>
      <c r="B28">
        <v>-1.6546E-6</v>
      </c>
    </row>
    <row r="29" spans="1:2">
      <c r="A29" s="5"/>
    </row>
    <row r="30" spans="1:2">
      <c r="A30" s="78" t="s">
        <v>111</v>
      </c>
      <c r="B30">
        <v>4.8314000000000001E-4</v>
      </c>
    </row>
    <row r="31" spans="1:2">
      <c r="A31" s="5"/>
    </row>
    <row r="32" spans="1:2">
      <c r="A32" s="78" t="s">
        <v>112</v>
      </c>
    </row>
    <row r="33" spans="1:8">
      <c r="A33" s="5"/>
    </row>
    <row r="34" spans="1:8">
      <c r="A34" s="78" t="s">
        <v>113</v>
      </c>
      <c r="H34" s="81">
        <f>SQRT(E5)</f>
        <v>0</v>
      </c>
    </row>
    <row r="35" spans="1:8">
      <c r="A35" s="5"/>
    </row>
    <row r="36" spans="1:8">
      <c r="A36" s="78" t="s">
        <v>114</v>
      </c>
      <c r="H36" s="81">
        <f xml:space="preserve"> B13+E6*(B14+E6*(B15+E6*(B16+E6*(B17+E6*B18))))</f>
        <v>999.84259399999996</v>
      </c>
    </row>
    <row r="37" spans="1:8">
      <c r="A37" s="78" t="s">
        <v>115</v>
      </c>
      <c r="H37" s="81">
        <f>B20+E6*(B21+E6*(B22+E6*(B23+E6*B24)))</f>
        <v>0.82449300000000003</v>
      </c>
    </row>
    <row r="38" spans="1:8">
      <c r="A38" s="78" t="s">
        <v>116</v>
      </c>
      <c r="H38" s="81">
        <f>B26+E6*(B27+E6*B28)</f>
        <v>-5.7246600000000003E-3</v>
      </c>
    </row>
    <row r="39" spans="1:8">
      <c r="A39" s="5"/>
    </row>
    <row r="40" spans="1:8">
      <c r="A40" s="78" t="s">
        <v>117</v>
      </c>
      <c r="H40" s="81">
        <f>H36+E5*(H37+H38*H34+B30*E5)</f>
        <v>999.84259399999996</v>
      </c>
    </row>
    <row r="41" spans="1:8">
      <c r="A41" s="5"/>
    </row>
    <row r="42" spans="1:8">
      <c r="A42" s="78" t="s">
        <v>118</v>
      </c>
    </row>
    <row r="43" spans="1:8">
      <c r="A43" s="5"/>
    </row>
    <row r="44" spans="1:8">
      <c r="A44" s="78" t="s">
        <v>119</v>
      </c>
      <c r="B44">
        <v>19652.21</v>
      </c>
    </row>
    <row r="45" spans="1:8">
      <c r="A45" s="78" t="s">
        <v>120</v>
      </c>
      <c r="B45">
        <v>148.42060000000001</v>
      </c>
    </row>
    <row r="46" spans="1:8">
      <c r="A46" s="78" t="s">
        <v>121</v>
      </c>
      <c r="B46">
        <v>-2.327105</v>
      </c>
    </row>
    <row r="47" spans="1:8">
      <c r="A47" s="78" t="s">
        <v>122</v>
      </c>
      <c r="B47">
        <v>1.360477E-2</v>
      </c>
    </row>
    <row r="48" spans="1:8">
      <c r="A48" s="78" t="s">
        <v>123</v>
      </c>
      <c r="B48">
        <v>-5.1552879999999998E-5</v>
      </c>
    </row>
    <row r="49" spans="1:2">
      <c r="A49" s="5"/>
    </row>
    <row r="50" spans="1:2">
      <c r="A50" s="78" t="s">
        <v>124</v>
      </c>
      <c r="B50">
        <v>54.674599999999998</v>
      </c>
    </row>
    <row r="51" spans="1:2">
      <c r="A51" s="78" t="s">
        <v>125</v>
      </c>
      <c r="B51">
        <v>-0.60345899999999997</v>
      </c>
    </row>
    <row r="52" spans="1:2">
      <c r="A52" s="78" t="s">
        <v>126</v>
      </c>
      <c r="B52">
        <v>1.09987E-2</v>
      </c>
    </row>
    <row r="53" spans="1:2">
      <c r="A53" s="78" t="s">
        <v>127</v>
      </c>
      <c r="B53">
        <v>-6.1669999999999997E-5</v>
      </c>
    </row>
    <row r="54" spans="1:2">
      <c r="A54" s="5"/>
    </row>
    <row r="55" spans="1:2">
      <c r="A55" s="78" t="s">
        <v>128</v>
      </c>
      <c r="B55">
        <v>7.9439999999999997E-2</v>
      </c>
    </row>
    <row r="56" spans="1:2">
      <c r="A56" s="78" t="s">
        <v>129</v>
      </c>
      <c r="B56">
        <v>1.6483000000000001E-2</v>
      </c>
    </row>
    <row r="57" spans="1:2">
      <c r="A57" s="78" t="s">
        <v>130</v>
      </c>
      <c r="B57">
        <v>-5.3008999999999999E-4</v>
      </c>
    </row>
    <row r="58" spans="1:2">
      <c r="A58" s="5"/>
    </row>
    <row r="59" spans="1:2">
      <c r="A59" s="78" t="s">
        <v>131</v>
      </c>
      <c r="B59">
        <v>3.2399079999999998</v>
      </c>
    </row>
    <row r="60" spans="1:2">
      <c r="A60" s="78" t="s">
        <v>132</v>
      </c>
      <c r="B60">
        <v>1.43713E-3</v>
      </c>
    </row>
    <row r="61" spans="1:2">
      <c r="A61" s="78" t="s">
        <v>133</v>
      </c>
      <c r="B61">
        <v>1.16092E-4</v>
      </c>
    </row>
    <row r="62" spans="1:2">
      <c r="A62" s="78" t="s">
        <v>134</v>
      </c>
      <c r="B62">
        <v>-5.7790500000000004E-7</v>
      </c>
    </row>
    <row r="63" spans="1:2">
      <c r="A63" s="5"/>
    </row>
    <row r="64" spans="1:2">
      <c r="A64" s="78" t="s">
        <v>135</v>
      </c>
      <c r="B64">
        <v>2.2837999999999999E-3</v>
      </c>
    </row>
    <row r="65" spans="1:7">
      <c r="A65" s="78" t="s">
        <v>136</v>
      </c>
      <c r="B65">
        <v>-1.0981E-5</v>
      </c>
    </row>
    <row r="66" spans="1:7">
      <c r="A66" s="78" t="s">
        <v>137</v>
      </c>
      <c r="B66">
        <v>-1.6078000000000001E-6</v>
      </c>
    </row>
    <row r="67" spans="1:7">
      <c r="A67" s="78" t="s">
        <v>138</v>
      </c>
      <c r="B67">
        <v>1.91075E-4</v>
      </c>
    </row>
    <row r="68" spans="1:7">
      <c r="A68" s="5"/>
    </row>
    <row r="69" spans="1:7">
      <c r="A69" s="78" t="s">
        <v>139</v>
      </c>
      <c r="B69">
        <v>8.5093500000000001E-5</v>
      </c>
    </row>
    <row r="70" spans="1:7">
      <c r="A70" s="78" t="s">
        <v>140</v>
      </c>
      <c r="B70">
        <v>-6.1229299999999998E-6</v>
      </c>
    </row>
    <row r="71" spans="1:7">
      <c r="A71" s="78" t="s">
        <v>141</v>
      </c>
      <c r="B71">
        <v>5.2787000000000001E-8</v>
      </c>
    </row>
    <row r="72" spans="1:7">
      <c r="A72" s="5"/>
    </row>
    <row r="73" spans="1:7">
      <c r="A73" s="78" t="s">
        <v>142</v>
      </c>
      <c r="B73">
        <v>-9.9347999999999997E-7</v>
      </c>
    </row>
    <row r="74" spans="1:7">
      <c r="A74" s="78" t="s">
        <v>143</v>
      </c>
      <c r="B74">
        <v>2.0815999999999999E-8</v>
      </c>
    </row>
    <row r="75" spans="1:7">
      <c r="A75" s="78" t="s">
        <v>144</v>
      </c>
      <c r="B75">
        <v>9.1696999999999999E-10</v>
      </c>
    </row>
    <row r="76" spans="1:7">
      <c r="A76" s="5"/>
    </row>
    <row r="77" spans="1:7">
      <c r="A77" s="78" t="s">
        <v>145</v>
      </c>
    </row>
    <row r="78" spans="1:7">
      <c r="A78" s="5"/>
    </row>
    <row r="79" spans="1:7">
      <c r="A79" s="78" t="s">
        <v>146</v>
      </c>
      <c r="G79" s="81">
        <f>E7/10</f>
        <v>98.063800000000001</v>
      </c>
    </row>
    <row r="80" spans="1:7">
      <c r="A80" s="5"/>
    </row>
    <row r="81" spans="1:7">
      <c r="A81" s="78" t="s">
        <v>147</v>
      </c>
    </row>
    <row r="82" spans="1:7">
      <c r="A82" s="5"/>
    </row>
    <row r="83" spans="1:7">
      <c r="A83" s="78" t="s">
        <v>148</v>
      </c>
      <c r="G83" s="81">
        <f>B64+E6*(B65+E6*B66)+B67*H34</f>
        <v>2.2837999999999999E-3</v>
      </c>
    </row>
    <row r="84" spans="1:7">
      <c r="A84" s="78" t="s">
        <v>149</v>
      </c>
      <c r="G84" s="81">
        <f>B73+E6*(B74+E6*B75)</f>
        <v>-9.9347999999999997E-7</v>
      </c>
    </row>
    <row r="85" spans="1:7">
      <c r="A85" s="5"/>
    </row>
    <row r="86" spans="1:7">
      <c r="A86" s="78" t="s">
        <v>150</v>
      </c>
      <c r="G86" s="81">
        <f>B44+E6*(B45+E6*(B46+E6*(B47+E6*B48)))</f>
        <v>19652.21</v>
      </c>
    </row>
    <row r="87" spans="1:7">
      <c r="A87" s="78" t="s">
        <v>151</v>
      </c>
      <c r="G87" s="81">
        <f>B50+E6*(B51+E6*(B52+E6*B53))</f>
        <v>54.674599999999998</v>
      </c>
    </row>
    <row r="88" spans="1:7">
      <c r="A88" s="78" t="s">
        <v>152</v>
      </c>
      <c r="G88" s="81">
        <f>B55+E6*(B56+E6*B57)</f>
        <v>7.9439999999999997E-2</v>
      </c>
    </row>
    <row r="89" spans="1:7">
      <c r="A89" s="78" t="s">
        <v>153</v>
      </c>
      <c r="G89" s="81">
        <f>B59+E6*(B60+E6*(B61+E6*B62))+E5*G83</f>
        <v>3.2399079999999998</v>
      </c>
    </row>
    <row r="90" spans="1:7">
      <c r="A90" s="78" t="s">
        <v>154</v>
      </c>
      <c r="G90" s="81">
        <f>B69+E6*(B70+E6*B71)+E5*G84</f>
        <v>8.5093500000000001E-5</v>
      </c>
    </row>
    <row r="91" spans="1:7">
      <c r="A91" s="5"/>
    </row>
    <row r="92" spans="1:7">
      <c r="A92" s="78" t="s">
        <v>155</v>
      </c>
      <c r="G92" s="81">
        <f>G86+E5*(G87+H34*G88)+G79*(G89+G79*G90)</f>
        <v>19970.745992527965</v>
      </c>
    </row>
    <row r="93" spans="1:7">
      <c r="A93" s="5"/>
    </row>
    <row r="94" spans="1:7">
      <c r="A94" s="78" t="s">
        <v>156</v>
      </c>
    </row>
    <row r="95" spans="1:7">
      <c r="A95" s="5"/>
    </row>
    <row r="96" spans="1:7">
      <c r="A96" s="78" t="s">
        <v>157</v>
      </c>
      <c r="E96" s="78" t="s">
        <v>158</v>
      </c>
      <c r="G96" s="80">
        <f>H40*(1/(1-G79/G92))</f>
        <v>1004.7764204065011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V100"/>
  <sheetViews>
    <sheetView zoomScale="80" zoomScaleNormal="80" workbookViewId="0">
      <selection activeCell="H28" sqref="H28"/>
    </sheetView>
  </sheetViews>
  <sheetFormatPr defaultColWidth="9.28515625" defaultRowHeight="12.75"/>
  <cols>
    <col min="1" max="1" width="41.28515625" style="5" customWidth="1"/>
    <col min="2" max="2" width="26" style="5" bestFit="1" customWidth="1"/>
    <col min="3" max="3" width="24.28515625" style="5" customWidth="1"/>
    <col min="4" max="4" width="20.7109375" style="5" customWidth="1"/>
    <col min="5" max="6" width="23.28515625" style="5" customWidth="1"/>
    <col min="7" max="7" width="18.7109375" style="5" customWidth="1"/>
    <col min="8" max="8" width="24.28515625" style="5" customWidth="1"/>
    <col min="9" max="9" width="30.7109375" style="5" customWidth="1"/>
    <col min="10" max="10" width="13.28515625" style="5" customWidth="1"/>
    <col min="11" max="11" width="24.7109375" style="5" customWidth="1"/>
    <col min="12" max="12" width="14.28515625" style="5" customWidth="1"/>
    <col min="13" max="13" width="19.28515625" style="5" customWidth="1"/>
    <col min="14" max="14" width="17.5703125" style="5" customWidth="1"/>
    <col min="15" max="15" width="16.7109375" style="5" customWidth="1"/>
    <col min="16" max="16" width="17.5703125" style="5" customWidth="1"/>
    <col min="17" max="18" width="18.28515625" style="5" customWidth="1"/>
    <col min="19" max="19" width="16.42578125" style="5" customWidth="1"/>
    <col min="20" max="20" width="16.28515625" style="5" customWidth="1"/>
    <col min="21" max="21" width="14" style="5" customWidth="1"/>
    <col min="22" max="22" width="14.28515625" style="5" customWidth="1"/>
    <col min="23" max="16384" width="9.28515625" style="5"/>
  </cols>
  <sheetData>
    <row r="1" spans="1:22" s="48" customFormat="1" ht="43.15" customHeight="1" thickBot="1">
      <c r="A1" s="326" t="s">
        <v>159</v>
      </c>
      <c r="B1" s="327" t="s">
        <v>160</v>
      </c>
      <c r="C1" s="327" t="s">
        <v>161</v>
      </c>
      <c r="D1" s="327" t="s">
        <v>162</v>
      </c>
      <c r="E1" s="327" t="s">
        <v>163</v>
      </c>
      <c r="F1" s="327" t="s">
        <v>164</v>
      </c>
      <c r="G1" s="327" t="s">
        <v>165</v>
      </c>
      <c r="H1" s="327" t="s">
        <v>166</v>
      </c>
      <c r="I1" s="327" t="s">
        <v>33</v>
      </c>
      <c r="J1" s="327" t="s">
        <v>167</v>
      </c>
      <c r="K1" s="327" t="s">
        <v>34</v>
      </c>
      <c r="L1" s="327" t="s">
        <v>168</v>
      </c>
      <c r="M1" s="327" t="s">
        <v>36</v>
      </c>
      <c r="N1" s="328" t="s">
        <v>169</v>
      </c>
      <c r="O1" s="329" t="s">
        <v>170</v>
      </c>
      <c r="P1" s="329" t="s">
        <v>171</v>
      </c>
      <c r="Q1" s="329" t="s">
        <v>172</v>
      </c>
      <c r="R1" s="329" t="s">
        <v>31</v>
      </c>
      <c r="S1" s="330" t="s">
        <v>173</v>
      </c>
      <c r="T1" s="330" t="s">
        <v>174</v>
      </c>
      <c r="U1" s="329" t="s">
        <v>175</v>
      </c>
    </row>
    <row r="2" spans="1:22" ht="24.75" customHeight="1">
      <c r="A2" s="331" t="s">
        <v>176</v>
      </c>
      <c r="B2" s="332">
        <f>52-D14</f>
        <v>42.521313916282672</v>
      </c>
      <c r="C2" s="333">
        <v>230</v>
      </c>
      <c r="D2" s="334" t="s">
        <v>177</v>
      </c>
      <c r="E2" s="334" t="s">
        <v>178</v>
      </c>
      <c r="F2" s="335" t="s">
        <v>179</v>
      </c>
      <c r="G2" s="334" t="s">
        <v>180</v>
      </c>
      <c r="H2" s="335" t="s">
        <v>181</v>
      </c>
      <c r="I2" s="336" t="s">
        <v>182</v>
      </c>
      <c r="J2" s="337">
        <v>0</v>
      </c>
      <c r="K2" s="335" t="s">
        <v>182</v>
      </c>
      <c r="L2" s="331">
        <v>0</v>
      </c>
      <c r="M2" s="409" t="b">
        <v>0</v>
      </c>
      <c r="N2" s="334" t="s">
        <v>52</v>
      </c>
      <c r="O2" s="339" t="s">
        <v>183</v>
      </c>
      <c r="P2" s="339" t="s">
        <v>183</v>
      </c>
      <c r="Q2" s="340" t="s">
        <v>183</v>
      </c>
      <c r="R2" s="409" t="b">
        <v>0</v>
      </c>
      <c r="S2" s="415" t="b">
        <v>0</v>
      </c>
      <c r="T2" s="341">
        <f>-33*10^-5</f>
        <v>-3.3000000000000005E-4</v>
      </c>
      <c r="U2" s="342">
        <f>53.5*10^-6</f>
        <v>5.3499999999999999E-5</v>
      </c>
    </row>
    <row r="3" spans="1:22" ht="30" customHeight="1">
      <c r="A3" s="6" t="s">
        <v>184</v>
      </c>
      <c r="B3" s="324">
        <f>55.2-D16</f>
        <v>44.940789587109478</v>
      </c>
      <c r="C3" s="343">
        <v>260</v>
      </c>
      <c r="D3" s="334" t="s">
        <v>185</v>
      </c>
      <c r="E3" s="334" t="s">
        <v>186</v>
      </c>
      <c r="F3" s="344" t="s">
        <v>187</v>
      </c>
      <c r="G3" s="334" t="s">
        <v>188</v>
      </c>
      <c r="H3" s="334" t="s">
        <v>189</v>
      </c>
      <c r="I3" s="345" t="s">
        <v>190</v>
      </c>
      <c r="J3" s="346">
        <v>1.6</v>
      </c>
      <c r="K3" s="334" t="s">
        <v>191</v>
      </c>
      <c r="L3" s="6">
        <v>0.43</v>
      </c>
      <c r="M3" s="106" t="s">
        <v>192</v>
      </c>
      <c r="N3" s="334" t="s">
        <v>193</v>
      </c>
      <c r="O3" s="345" t="s">
        <v>183</v>
      </c>
      <c r="P3" s="345" t="s">
        <v>183</v>
      </c>
      <c r="Q3" s="348" t="s">
        <v>183</v>
      </c>
      <c r="R3" s="6"/>
      <c r="S3" s="349"/>
      <c r="T3" s="350">
        <f>-4.4*10^-6*1.01974</f>
        <v>-4.4868560000000007E-6</v>
      </c>
      <c r="U3" s="351">
        <f>70.5*10^-6</f>
        <v>7.0499999999999992E-5</v>
      </c>
      <c r="V3" s="352" t="s">
        <v>194</v>
      </c>
    </row>
    <row r="4" spans="1:22" ht="24.75" customHeight="1">
      <c r="A4" s="6" t="s">
        <v>195</v>
      </c>
      <c r="B4" s="325">
        <f>56.3-D14-D38*2</f>
        <v>8.2662241169817179</v>
      </c>
      <c r="C4" s="353">
        <v>230</v>
      </c>
      <c r="D4" s="334" t="s">
        <v>196</v>
      </c>
      <c r="E4" s="334" t="s">
        <v>197</v>
      </c>
      <c r="F4" s="354" t="s">
        <v>198</v>
      </c>
      <c r="G4" s="334" t="s">
        <v>199</v>
      </c>
      <c r="H4" s="334"/>
      <c r="I4" s="345" t="s">
        <v>200</v>
      </c>
      <c r="J4" s="346">
        <v>2.4</v>
      </c>
      <c r="K4" s="334" t="s">
        <v>201</v>
      </c>
      <c r="L4" s="6">
        <v>0.68</v>
      </c>
      <c r="M4" s="414" t="b">
        <v>1</v>
      </c>
      <c r="N4" s="6"/>
      <c r="O4" s="345">
        <v>2</v>
      </c>
      <c r="P4" s="356">
        <v>2.25</v>
      </c>
      <c r="Q4" s="357">
        <v>2.75</v>
      </c>
      <c r="R4" s="6"/>
      <c r="S4" s="349"/>
      <c r="T4" s="349"/>
      <c r="U4" s="6"/>
    </row>
    <row r="5" spans="1:22" ht="24.75" customHeight="1">
      <c r="A5" s="6" t="s">
        <v>16</v>
      </c>
      <c r="B5" s="325">
        <f>56.3-D45-D38*2</f>
        <v>7.3879930219714751</v>
      </c>
      <c r="C5" s="353">
        <v>260</v>
      </c>
      <c r="D5" s="6"/>
      <c r="E5" s="334" t="s">
        <v>202</v>
      </c>
      <c r="F5" s="334"/>
      <c r="G5" s="334" t="s">
        <v>203</v>
      </c>
      <c r="H5" s="6"/>
      <c r="I5" s="355"/>
      <c r="J5" s="355"/>
      <c r="K5" s="334" t="s">
        <v>204</v>
      </c>
      <c r="L5" s="6">
        <v>0.43</v>
      </c>
      <c r="M5" s="105" t="s">
        <v>205</v>
      </c>
      <c r="N5" s="6"/>
      <c r="O5" s="345">
        <v>2.02</v>
      </c>
      <c r="P5" s="345" t="e">
        <v>#N/A</v>
      </c>
      <c r="Q5" s="348">
        <v>3.25</v>
      </c>
      <c r="R5" s="6"/>
      <c r="S5" s="349"/>
      <c r="T5" s="349"/>
      <c r="U5" s="6"/>
    </row>
    <row r="6" spans="1:22" ht="24.75" customHeight="1">
      <c r="A6" s="334" t="s">
        <v>206</v>
      </c>
      <c r="B6" s="325">
        <f>10.51-0.21</f>
        <v>10.299999999999999</v>
      </c>
      <c r="C6" s="353">
        <v>530</v>
      </c>
      <c r="D6" s="358" t="s">
        <v>207</v>
      </c>
      <c r="E6" s="334" t="s">
        <v>208</v>
      </c>
      <c r="F6" s="334"/>
      <c r="G6" s="334"/>
      <c r="H6" s="334"/>
      <c r="I6" s="6"/>
      <c r="J6" s="6"/>
      <c r="K6" s="334" t="s">
        <v>209</v>
      </c>
      <c r="L6" s="6">
        <v>0.43</v>
      </c>
      <c r="M6" s="6"/>
      <c r="N6" s="6"/>
      <c r="O6" s="345">
        <v>2.75</v>
      </c>
      <c r="P6" s="345">
        <v>1.5</v>
      </c>
      <c r="Q6" s="348">
        <v>4</v>
      </c>
      <c r="R6" s="6"/>
      <c r="S6" s="349"/>
      <c r="T6" s="349"/>
      <c r="U6" s="6"/>
    </row>
    <row r="7" spans="1:22" ht="24.75" customHeight="1">
      <c r="A7" s="359" t="s">
        <v>210</v>
      </c>
      <c r="B7" s="360">
        <f>B6+0.098</f>
        <v>10.398</v>
      </c>
      <c r="C7" s="361">
        <v>460</v>
      </c>
      <c r="D7" s="6"/>
      <c r="E7" s="334" t="s">
        <v>211</v>
      </c>
      <c r="F7" s="6"/>
      <c r="G7" s="6"/>
      <c r="H7" s="6"/>
      <c r="I7" s="6"/>
      <c r="J7" s="6"/>
      <c r="K7" s="334" t="s">
        <v>212</v>
      </c>
      <c r="L7" s="334">
        <v>0.08</v>
      </c>
      <c r="M7" s="6"/>
      <c r="N7" s="6"/>
      <c r="O7" s="355">
        <v>2.7</v>
      </c>
      <c r="P7" s="355" t="e">
        <v>#N/A</v>
      </c>
      <c r="Q7" s="362">
        <v>5.75</v>
      </c>
      <c r="R7" s="6"/>
      <c r="S7" s="349"/>
      <c r="T7" s="349"/>
      <c r="U7" s="6"/>
    </row>
    <row r="8" spans="1:22" ht="24.75" customHeight="1">
      <c r="A8" s="334" t="s">
        <v>442</v>
      </c>
      <c r="B8" s="363">
        <f>B7</f>
        <v>10.398</v>
      </c>
      <c r="C8" s="361">
        <v>460</v>
      </c>
      <c r="D8" s="364"/>
      <c r="E8" s="364"/>
      <c r="F8" s="364"/>
      <c r="G8" s="364"/>
      <c r="H8" s="364"/>
      <c r="I8" s="364"/>
      <c r="J8" s="364"/>
      <c r="K8" s="359"/>
      <c r="M8" s="364"/>
      <c r="N8" s="364"/>
      <c r="O8" s="355">
        <v>4.3600000000000003</v>
      </c>
      <c r="P8" s="345" t="e">
        <v>#N/A</v>
      </c>
      <c r="Q8" s="348" t="s">
        <v>213</v>
      </c>
      <c r="R8" s="6"/>
      <c r="S8" s="349"/>
      <c r="T8" s="349"/>
      <c r="U8" s="6"/>
    </row>
    <row r="9" spans="1:22" ht="24.75" customHeight="1">
      <c r="A9" s="334"/>
      <c r="B9" s="325"/>
      <c r="C9" s="325"/>
      <c r="D9" s="6"/>
      <c r="E9" s="6"/>
      <c r="F9" s="6"/>
      <c r="G9" s="6"/>
      <c r="H9" s="6"/>
      <c r="I9" s="6"/>
      <c r="J9" s="6"/>
      <c r="K9" s="334"/>
      <c r="L9" s="6"/>
      <c r="M9" s="6"/>
      <c r="N9" s="6"/>
      <c r="O9" s="6"/>
      <c r="P9" s="6"/>
      <c r="Q9" s="349"/>
      <c r="R9" s="6"/>
      <c r="S9" s="349"/>
      <c r="T9" s="349"/>
      <c r="U9" s="6"/>
    </row>
    <row r="10" spans="1:22" ht="24.75" customHeight="1">
      <c r="A10" s="334"/>
      <c r="B10" s="325"/>
      <c r="C10" s="325"/>
      <c r="D10" s="6"/>
      <c r="E10" s="6"/>
      <c r="F10" s="6"/>
      <c r="G10" s="6"/>
      <c r="H10" s="6"/>
      <c r="I10" s="6"/>
      <c r="J10" s="6"/>
      <c r="K10" s="334"/>
      <c r="L10" s="6"/>
      <c r="M10" s="6"/>
      <c r="N10" s="6"/>
      <c r="O10" s="6"/>
      <c r="P10" s="6"/>
      <c r="Q10" s="349"/>
      <c r="R10" s="6"/>
      <c r="S10" s="349"/>
      <c r="T10" s="349"/>
      <c r="U10" s="6"/>
    </row>
    <row r="11" spans="1:22" ht="22.5" customHeight="1">
      <c r="B11" s="7"/>
    </row>
    <row r="12" spans="1:22" ht="24.75" customHeight="1">
      <c r="A12" s="501"/>
      <c r="B12" s="499" t="s">
        <v>214</v>
      </c>
      <c r="C12" s="499" t="s">
        <v>215</v>
      </c>
      <c r="D12" s="499"/>
      <c r="E12" s="499" t="s">
        <v>216</v>
      </c>
    </row>
    <row r="13" spans="1:22" ht="24.75" customHeight="1" thickBot="1">
      <c r="A13" s="502"/>
      <c r="B13" s="500"/>
      <c r="C13" s="365" t="s">
        <v>217</v>
      </c>
      <c r="D13" s="365" t="s">
        <v>86</v>
      </c>
      <c r="E13" s="500"/>
      <c r="G13" s="7"/>
    </row>
    <row r="14" spans="1:22" ht="24.75" customHeight="1">
      <c r="A14" s="366" t="s">
        <v>218</v>
      </c>
      <c r="B14" s="338">
        <v>10.5</v>
      </c>
      <c r="C14" s="367">
        <f>B14*(8.375/2)^2*PI()</f>
        <v>578.42733957276607</v>
      </c>
      <c r="D14" s="367">
        <f>C14/61.024</f>
        <v>9.4786860837173261</v>
      </c>
      <c r="E14" s="338" t="b">
        <v>1</v>
      </c>
    </row>
    <row r="15" spans="1:22" ht="24.75" customHeight="1">
      <c r="A15" s="366" t="s">
        <v>219</v>
      </c>
      <c r="B15" s="338">
        <v>10</v>
      </c>
      <c r="C15" s="367">
        <f>B15*(8.375/2)^2*PI()</f>
        <v>550.88318054549143</v>
      </c>
      <c r="D15" s="367">
        <f t="shared" ref="D15:D21" si="0">C15/61.024</f>
        <v>9.0273200797307851</v>
      </c>
      <c r="E15" s="338" t="b">
        <v>1</v>
      </c>
    </row>
    <row r="16" spans="1:22" ht="24.75" customHeight="1">
      <c r="A16" s="366" t="s">
        <v>220</v>
      </c>
      <c r="B16" s="338">
        <v>10.5</v>
      </c>
      <c r="C16" s="367">
        <f t="shared" ref="C16:C21" si="1">B16*(8.713/2)^2*PI()</f>
        <v>626.05805623623121</v>
      </c>
      <c r="D16" s="367">
        <f t="shared" si="0"/>
        <v>10.259210412890521</v>
      </c>
      <c r="E16" s="338" t="b">
        <v>1</v>
      </c>
    </row>
    <row r="17" spans="1:8" ht="24.75" customHeight="1">
      <c r="A17" s="366" t="s">
        <v>221</v>
      </c>
      <c r="B17" s="338">
        <v>10</v>
      </c>
      <c r="C17" s="367">
        <f t="shared" si="1"/>
        <v>596.24576784402961</v>
      </c>
      <c r="D17" s="367">
        <f t="shared" si="0"/>
        <v>9.7706765837052565</v>
      </c>
      <c r="E17" s="338" t="b">
        <v>0</v>
      </c>
    </row>
    <row r="18" spans="1:8" ht="24.75" customHeight="1">
      <c r="A18" s="368" t="s">
        <v>222</v>
      </c>
      <c r="B18" s="6">
        <v>14.85</v>
      </c>
      <c r="C18" s="367">
        <f t="shared" si="1"/>
        <v>885.42496524838407</v>
      </c>
      <c r="D18" s="367">
        <f t="shared" si="0"/>
        <v>14.509454726802309</v>
      </c>
      <c r="E18" s="334" t="b">
        <v>1</v>
      </c>
    </row>
    <row r="19" spans="1:8" ht="24.75" customHeight="1">
      <c r="A19" s="368" t="s">
        <v>223</v>
      </c>
      <c r="B19" s="6">
        <v>5.75</v>
      </c>
      <c r="C19" s="367">
        <f t="shared" si="1"/>
        <v>342.84131651031709</v>
      </c>
      <c r="D19" s="367">
        <f t="shared" si="0"/>
        <v>5.6181390356305236</v>
      </c>
      <c r="E19" s="334" t="b">
        <v>0</v>
      </c>
    </row>
    <row r="20" spans="1:8" ht="24.75" customHeight="1">
      <c r="A20" s="368" t="s">
        <v>224</v>
      </c>
      <c r="B20" s="6">
        <v>5.75</v>
      </c>
      <c r="C20" s="367">
        <f t="shared" si="1"/>
        <v>342.84131651031709</v>
      </c>
      <c r="D20" s="367">
        <f t="shared" si="0"/>
        <v>5.6181390356305236</v>
      </c>
      <c r="E20" s="334" t="b">
        <v>0</v>
      </c>
      <c r="H20" s="7"/>
    </row>
    <row r="21" spans="1:8" ht="24.75" customHeight="1">
      <c r="A21" s="368" t="s">
        <v>225</v>
      </c>
      <c r="B21" s="6">
        <v>15.75</v>
      </c>
      <c r="C21" s="367">
        <f t="shared" si="1"/>
        <v>939.08708435434687</v>
      </c>
      <c r="D21" s="367">
        <f t="shared" si="0"/>
        <v>15.388815619335784</v>
      </c>
      <c r="E21" s="334" t="b">
        <v>1</v>
      </c>
      <c r="H21" s="7"/>
    </row>
    <row r="22" spans="1:8" ht="24.75" customHeight="1">
      <c r="A22" s="368" t="s">
        <v>173</v>
      </c>
      <c r="B22" s="369" t="s">
        <v>179</v>
      </c>
      <c r="C22" s="370" t="s">
        <v>179</v>
      </c>
      <c r="D22" s="371">
        <v>0.432</v>
      </c>
      <c r="E22" s="6" t="b">
        <v>1</v>
      </c>
      <c r="H22" s="7"/>
    </row>
    <row r="23" spans="1:8" ht="24.75" customHeight="1">
      <c r="A23" s="368" t="s">
        <v>29</v>
      </c>
      <c r="B23" s="369" t="s">
        <v>179</v>
      </c>
      <c r="C23" s="370" t="s">
        <v>179</v>
      </c>
      <c r="D23" s="371">
        <v>5.58</v>
      </c>
      <c r="E23" s="6" t="b">
        <v>0</v>
      </c>
      <c r="H23" s="7"/>
    </row>
    <row r="24" spans="1:8" ht="24.75" customHeight="1">
      <c r="A24" s="368" t="s">
        <v>30</v>
      </c>
      <c r="B24" s="369" t="s">
        <v>179</v>
      </c>
      <c r="C24" s="370" t="s">
        <v>179</v>
      </c>
      <c r="D24" s="371">
        <v>1.48</v>
      </c>
      <c r="E24" s="6" t="b">
        <v>1</v>
      </c>
      <c r="H24" s="7"/>
    </row>
    <row r="25" spans="1:8" ht="17.649999999999999" customHeight="1">
      <c r="A25" s="368"/>
      <c r="B25" s="369"/>
      <c r="C25" s="369"/>
      <c r="D25" s="369"/>
      <c r="E25" s="334"/>
    </row>
    <row r="26" spans="1:8">
      <c r="A26" s="372"/>
    </row>
    <row r="27" spans="1:8">
      <c r="A27" s="372"/>
      <c r="H27" s="7"/>
    </row>
    <row r="28" spans="1:8">
      <c r="A28" s="5" t="s">
        <v>226</v>
      </c>
      <c r="B28" s="5">
        <v>8.375</v>
      </c>
      <c r="D28" s="7" t="s">
        <v>461</v>
      </c>
      <c r="E28" s="7" t="s">
        <v>464</v>
      </c>
      <c r="H28" s="7"/>
    </row>
    <row r="29" spans="1:8">
      <c r="A29" s="5" t="s">
        <v>227</v>
      </c>
      <c r="B29" s="5">
        <v>8.7129999999999992</v>
      </c>
      <c r="D29" s="7" t="s">
        <v>462</v>
      </c>
      <c r="E29" s="7" t="s">
        <v>465</v>
      </c>
    </row>
    <row r="30" spans="1:8">
      <c r="D30" s="7" t="s">
        <v>463</v>
      </c>
      <c r="E30" s="7" t="s">
        <v>466</v>
      </c>
    </row>
    <row r="31" spans="1:8">
      <c r="A31" s="7" t="s">
        <v>444</v>
      </c>
    </row>
    <row r="32" spans="1:8">
      <c r="A32" s="7" t="s">
        <v>57</v>
      </c>
    </row>
    <row r="34" spans="1:10" ht="15">
      <c r="A34" s="503"/>
      <c r="B34" s="505" t="s">
        <v>214</v>
      </c>
      <c r="C34" s="505" t="s">
        <v>215</v>
      </c>
      <c r="D34" s="505"/>
      <c r="E34" s="505" t="s">
        <v>216</v>
      </c>
    </row>
    <row r="35" spans="1:10" ht="15.75" thickBot="1">
      <c r="A35" s="504"/>
      <c r="B35" s="506"/>
      <c r="C35" s="373" t="s">
        <v>217</v>
      </c>
      <c r="D35" s="373" t="s">
        <v>86</v>
      </c>
      <c r="E35" s="506"/>
    </row>
    <row r="36" spans="1:10" ht="19.149999999999999" customHeight="1">
      <c r="A36" s="374" t="s">
        <v>228</v>
      </c>
      <c r="B36" s="375"/>
      <c r="C36" s="375">
        <f>B36*(8.375/2)^2*PI()</f>
        <v>0</v>
      </c>
      <c r="D36" s="375">
        <f>C36/61.024</f>
        <v>0</v>
      </c>
      <c r="E36" s="375"/>
      <c r="F36" s="7" t="s">
        <v>229</v>
      </c>
    </row>
    <row r="37" spans="1:10" ht="28.15" customHeight="1">
      <c r="A37" s="374" t="s">
        <v>230</v>
      </c>
      <c r="B37" s="375" t="e">
        <f>Ballast!#REF!</f>
        <v>#REF!</v>
      </c>
      <c r="C37" s="376" t="e">
        <f>B37*(8.713/2)^2*PI()</f>
        <v>#REF!</v>
      </c>
      <c r="D37" s="376" t="e">
        <f>C37/61.024</f>
        <v>#REF!</v>
      </c>
      <c r="E37" s="377"/>
    </row>
    <row r="38" spans="1:10" ht="19.149999999999999" customHeight="1">
      <c r="A38" s="374" t="str">
        <f>"ASSY G-1405 (Standard G2 - " &amp; B38&amp; "'')"</f>
        <v>ASSY G-1405 (Standard G2 - 19.73'')</v>
      </c>
      <c r="B38" s="375">
        <v>19.73</v>
      </c>
      <c r="C38" s="376">
        <f>B38*(8.713/2)^2*PI()</f>
        <v>1176.3928999562706</v>
      </c>
      <c r="D38" s="376">
        <f>C38/61.024</f>
        <v>19.277544899650476</v>
      </c>
      <c r="E38" s="375" t="b">
        <v>0</v>
      </c>
    </row>
    <row r="39" spans="1:10" ht="22.15" customHeight="1">
      <c r="A39" s="374" t="str">
        <f>"ASSY G-1405-L (Standard G3 - "&amp;B39&amp;"'')"</f>
        <v>ASSY G-1405-L (Standard G3 - 20.25'')</v>
      </c>
      <c r="B39" s="375">
        <v>20.25</v>
      </c>
      <c r="C39" s="376">
        <f t="shared" ref="C39:C50" si="2">B39*(8.713/2)^2*PI()</f>
        <v>1207.3976798841602</v>
      </c>
      <c r="D39" s="376">
        <f t="shared" ref="D39:D50" si="3">C39/61.024</f>
        <v>19.785620082003149</v>
      </c>
      <c r="E39" s="375" t="b">
        <v>1</v>
      </c>
    </row>
    <row r="40" spans="1:10" ht="22.15" customHeight="1">
      <c r="A40" s="374" t="str">
        <f>"ASSY G-1405-3 ("&amp;B40&amp; "'')"</f>
        <v>ASSY G-1405-3 (21.75'')</v>
      </c>
      <c r="B40" s="375">
        <v>21.75</v>
      </c>
      <c r="C40" s="376">
        <f t="shared" si="2"/>
        <v>1296.8345450607644</v>
      </c>
      <c r="D40" s="376">
        <f t="shared" si="3"/>
        <v>21.251221569558933</v>
      </c>
      <c r="E40" s="377" t="b">
        <v>1</v>
      </c>
      <c r="F40" s="378"/>
      <c r="G40" s="42"/>
      <c r="H40" s="379"/>
      <c r="I40" s="379"/>
      <c r="J40" s="42"/>
    </row>
    <row r="41" spans="1:10" ht="23.65" customHeight="1">
      <c r="A41" s="374" t="str">
        <f>"ASSY G-1405-5 ("&amp;B41&amp;"'')"</f>
        <v>ASSY G-1405-5 (24.63'')</v>
      </c>
      <c r="B41" s="375">
        <v>24.63</v>
      </c>
      <c r="C41" s="376">
        <f t="shared" si="2"/>
        <v>1468.5533261998451</v>
      </c>
      <c r="D41" s="376">
        <f>C41/61.024</f>
        <v>24.065176425666049</v>
      </c>
      <c r="E41" s="377" t="b">
        <v>1</v>
      </c>
    </row>
    <row r="42" spans="1:10" ht="23.65" customHeight="1">
      <c r="A42" s="374" t="s">
        <v>231</v>
      </c>
      <c r="B42" s="375" t="e">
        <f>Ballast!#REF!</f>
        <v>#REF!</v>
      </c>
      <c r="C42" s="376" t="e">
        <f>B42*(8.713/2)^2*PI()</f>
        <v>#REF!</v>
      </c>
      <c r="D42" s="376" t="e">
        <f>C42/61.024</f>
        <v>#REF!</v>
      </c>
      <c r="E42" s="377"/>
    </row>
    <row r="43" spans="1:10" ht="23.65" customHeight="1">
      <c r="A43" s="380" t="s">
        <v>232</v>
      </c>
      <c r="B43" s="377">
        <v>10.5</v>
      </c>
      <c r="C43" s="377">
        <f>B43*(8.375/2)^2*PI()</f>
        <v>578.42733957276607</v>
      </c>
      <c r="D43" s="376">
        <f>C43/61.024</f>
        <v>9.4786860837173261</v>
      </c>
      <c r="E43" s="377"/>
      <c r="F43" s="7" t="s">
        <v>233</v>
      </c>
      <c r="I43" s="5" t="str">
        <f>"words" &amp; C41 &amp; "words"</f>
        <v>words1468.55332619985words</v>
      </c>
    </row>
    <row r="44" spans="1:10" ht="23.65" customHeight="1">
      <c r="A44" s="374" t="s">
        <v>234</v>
      </c>
      <c r="B44" s="381" t="e">
        <f>Ballast!#REF!</f>
        <v>#REF!</v>
      </c>
      <c r="C44" s="376" t="e">
        <f>B44*(8.713/2)^2*PI()</f>
        <v>#REF!</v>
      </c>
      <c r="D44" s="376" t="e">
        <f>C44/61.024</f>
        <v>#REF!</v>
      </c>
      <c r="E44" s="377"/>
    </row>
    <row r="45" spans="1:10" ht="18" customHeight="1">
      <c r="A45" s="374" t="str">
        <f>"Standard PL Bay ("&amp;B45&amp;"'')"</f>
        <v>Standard PL Bay (10.6'')</v>
      </c>
      <c r="B45" s="375">
        <f>9.4+2*0.6</f>
        <v>10.6</v>
      </c>
      <c r="C45" s="376">
        <f t="shared" si="2"/>
        <v>632.02051391467148</v>
      </c>
      <c r="D45" s="376">
        <f t="shared" si="3"/>
        <v>10.356917178727574</v>
      </c>
      <c r="E45" s="375" t="b">
        <v>0</v>
      </c>
      <c r="F45" s="334" t="s">
        <v>235</v>
      </c>
    </row>
    <row r="46" spans="1:10" ht="18" customHeight="1">
      <c r="A46" s="380" t="s">
        <v>236</v>
      </c>
      <c r="B46" s="377">
        <f>9.4+0.6+0.8</f>
        <v>10.8</v>
      </c>
      <c r="C46" s="376">
        <f t="shared" si="2"/>
        <v>643.94542927155214</v>
      </c>
      <c r="D46" s="376">
        <f t="shared" si="3"/>
        <v>10.55233071040168</v>
      </c>
      <c r="E46" s="377" t="b">
        <v>0</v>
      </c>
      <c r="F46" s="334" t="s">
        <v>235</v>
      </c>
    </row>
    <row r="47" spans="1:10" ht="25.15" customHeight="1">
      <c r="A47" s="380" t="str">
        <f>"14'' Carbon MCBH PL Bay ("&amp;B47&amp;"'')"</f>
        <v>14'' Carbon MCBH PL Bay (15.4'')</v>
      </c>
      <c r="B47" s="377">
        <f>14+0.6+0.8</f>
        <v>15.4</v>
      </c>
      <c r="C47" s="376">
        <f t="shared" si="2"/>
        <v>918.21848247980574</v>
      </c>
      <c r="D47" s="376">
        <f t="shared" si="3"/>
        <v>15.046841938906098</v>
      </c>
      <c r="E47" s="377" t="b">
        <v>0</v>
      </c>
      <c r="F47" s="334" t="s">
        <v>235</v>
      </c>
    </row>
    <row r="48" spans="1:10" ht="27.6" customHeight="1">
      <c r="A48" s="380" t="str">
        <f>"Energy Bay ("&amp;B48&amp;"'')"</f>
        <v>Energy Bay (15.2'')</v>
      </c>
      <c r="B48" s="377">
        <f>14+2*0.6</f>
        <v>15.2</v>
      </c>
      <c r="C48" s="376">
        <f t="shared" si="2"/>
        <v>906.29356712292508</v>
      </c>
      <c r="D48" s="376">
        <f t="shared" si="3"/>
        <v>14.851428407231992</v>
      </c>
      <c r="E48" s="377" t="b">
        <v>0</v>
      </c>
      <c r="F48" s="334" t="s">
        <v>235</v>
      </c>
    </row>
    <row r="49" spans="1:6" ht="18.600000000000001" customHeight="1">
      <c r="A49" s="380" t="str">
        <f>"Half Stack ("&amp;B49&amp;"'')"</f>
        <v>Half Stack (6.9'')</v>
      </c>
      <c r="B49" s="377">
        <f>5.7+2*0.6</f>
        <v>6.9</v>
      </c>
      <c r="C49" s="376">
        <f t="shared" si="2"/>
        <v>411.40957981238051</v>
      </c>
      <c r="D49" s="376">
        <f t="shared" si="3"/>
        <v>6.7417668427566291</v>
      </c>
      <c r="E49" s="377" t="b">
        <v>0</v>
      </c>
      <c r="F49" s="334" t="s">
        <v>235</v>
      </c>
    </row>
    <row r="50" spans="1:6" ht="15">
      <c r="A50" s="380" t="s">
        <v>182</v>
      </c>
      <c r="B50" s="377"/>
      <c r="C50" s="376">
        <f t="shared" si="2"/>
        <v>0</v>
      </c>
      <c r="D50" s="376">
        <f t="shared" si="3"/>
        <v>0</v>
      </c>
      <c r="E50" s="377" t="b">
        <v>1</v>
      </c>
      <c r="F50" s="334" t="s">
        <v>237</v>
      </c>
    </row>
    <row r="51" spans="1:6">
      <c r="A51" s="7"/>
    </row>
    <row r="53" spans="1:6" ht="13.5" thickBot="1"/>
    <row r="54" spans="1:6" ht="16.5" thickBot="1">
      <c r="A54" s="382"/>
      <c r="B54" s="382" t="s">
        <v>238</v>
      </c>
      <c r="C54" s="383" t="s">
        <v>239</v>
      </c>
      <c r="D54" s="384" t="s">
        <v>240</v>
      </c>
    </row>
    <row r="55" spans="1:6" ht="15.75">
      <c r="A55" s="385" t="s">
        <v>241</v>
      </c>
      <c r="B55" s="386"/>
      <c r="C55" s="411"/>
      <c r="D55" s="342">
        <v>1.83</v>
      </c>
      <c r="E55" s="7" t="s">
        <v>242</v>
      </c>
    </row>
    <row r="56" spans="1:6" ht="15.75">
      <c r="A56" s="387" t="s">
        <v>243</v>
      </c>
      <c r="B56" s="388"/>
      <c r="C56" s="412"/>
      <c r="D56" s="334">
        <f>VLOOKUP(Ballast!C17,Constants!A4:O8,14,FALSE)*-1</f>
        <v>0</v>
      </c>
    </row>
    <row r="57" spans="1:6" ht="15.75">
      <c r="A57" s="387" t="s">
        <v>173</v>
      </c>
      <c r="B57" s="389">
        <f>IF(C57=TRUE,0.432,0)</f>
        <v>0</v>
      </c>
      <c r="C57" s="409" t="b">
        <f>S2</f>
        <v>0</v>
      </c>
      <c r="D57" s="338"/>
    </row>
    <row r="58" spans="1:6" ht="15.75">
      <c r="A58" s="387" t="s">
        <v>29</v>
      </c>
      <c r="B58" s="390">
        <f>IF(C58=TRUE,5.58,0)</f>
        <v>0</v>
      </c>
      <c r="C58" s="410" t="b">
        <v>0</v>
      </c>
      <c r="D58" s="6"/>
    </row>
    <row r="59" spans="1:6" ht="15.75">
      <c r="A59" s="387" t="s">
        <v>30</v>
      </c>
      <c r="B59" s="390">
        <f>IF(C59=TRUE,1.48,0)</f>
        <v>0</v>
      </c>
      <c r="C59" s="410" t="b">
        <v>0</v>
      </c>
      <c r="D59" s="6"/>
    </row>
    <row r="60" spans="1:6" ht="15.75">
      <c r="A60" s="387" t="s">
        <v>31</v>
      </c>
      <c r="B60" s="389">
        <f>IF(R2=TRUE,0.21,0)</f>
        <v>0</v>
      </c>
      <c r="C60" s="410" t="b">
        <f>R2</f>
        <v>0</v>
      </c>
      <c r="D60" s="6"/>
    </row>
    <row r="61" spans="1:6" ht="15.75">
      <c r="A61" s="387" t="s">
        <v>39</v>
      </c>
      <c r="B61" s="391">
        <f>IF(C61=TRUE,0.04822,0)</f>
        <v>0</v>
      </c>
      <c r="C61" s="410" t="b">
        <v>0</v>
      </c>
      <c r="D61" s="6"/>
    </row>
    <row r="62" spans="1:6" ht="15.75">
      <c r="A62" s="392" t="s">
        <v>33</v>
      </c>
      <c r="B62" s="391">
        <f>IF(Ballast!C26=Constants!I2,Constants!J2,IF(Ballast!C26=Constants!I3,Constants!J3,IF(Ballast!C26=Constants!I4,Constants!J4,0)))</f>
        <v>0</v>
      </c>
      <c r="C62" s="345" t="s">
        <v>179</v>
      </c>
      <c r="D62" s="6"/>
    </row>
    <row r="63" spans="1:6" ht="15.75">
      <c r="A63" s="392" t="s">
        <v>34</v>
      </c>
      <c r="B63" s="391">
        <f>IF(Ballast!C27=Constants!K2,Constants!L2,IF(Ballast!C27=Constants!K3,Constants!L3,IF(Ballast!C27=Constants!K4,Constants!L4,IF(Ballast!C27=Constants!K5,Constants!L5,IF(Ballast!C27=Constants!K6,Constants!L6,IF(Ballast!C27=Constants!K7,Constants!L7,))))))</f>
        <v>0</v>
      </c>
      <c r="C63" s="345" t="s">
        <v>179</v>
      </c>
      <c r="D63" s="6"/>
    </row>
    <row r="64" spans="1:6" ht="15.75">
      <c r="A64" s="392" t="s">
        <v>36</v>
      </c>
      <c r="B64" s="391">
        <f>IF(M2=TRUE,0.17,IF(M4=TRUE,0.057,0))</f>
        <v>5.7000000000000002E-2</v>
      </c>
      <c r="C64" s="345" t="s">
        <v>179</v>
      </c>
      <c r="D64" s="6"/>
    </row>
    <row r="65" spans="1:11" ht="15.75">
      <c r="A65" s="387" t="s">
        <v>21</v>
      </c>
      <c r="B65" s="393">
        <f>IF(Ballast!C18=Constants!A36,Constants!D36,IF(Ballast!C18=Constants!A38,Constants!D38,IF(Ballast!C18=Constants!A39,Constants!D39,IF(Ballast!C18=Constants!A40,Constants!D40,IF(Ballast!C18=Constants!A41,Constants!D41,IF(Ballast!C18=Constants!A42,Constants!D42,0))))))</f>
        <v>19.785620082003149</v>
      </c>
      <c r="C65" s="345" t="s">
        <v>179</v>
      </c>
      <c r="D65" s="6">
        <f>B65/2</f>
        <v>9.8928100410015745</v>
      </c>
    </row>
    <row r="66" spans="1:11" ht="15.75">
      <c r="A66" s="387" t="s">
        <v>23</v>
      </c>
      <c r="B66" s="393">
        <f>IF(Ballast!C19=Constants!A36,Constants!D36,IF(Ballast!C19=Constants!A38,Constants!D38,IF(Ballast!C19=Constants!A39,Constants!D39,IF(Ballast!C19=Constants!A40,Constants!D40,IF(Ballast!C19=Constants!A41,Constants!D41,IF(Ballast!C19=Constants!A37,Constants!D37,0))))))</f>
        <v>21.251221569558933</v>
      </c>
      <c r="C66" s="345" t="s">
        <v>179</v>
      </c>
      <c r="D66" s="6">
        <f t="shared" ref="D66:D68" si="4">B66/2</f>
        <v>10.625610784779466</v>
      </c>
    </row>
    <row r="67" spans="1:11" ht="15.75">
      <c r="A67" s="387" t="s">
        <v>25</v>
      </c>
      <c r="B67" s="393">
        <f>VLOOKUP(Ballast!C20,A43:D50,4,FALSE)</f>
        <v>10.356917178727574</v>
      </c>
      <c r="C67" s="345" t="s">
        <v>179</v>
      </c>
      <c r="D67" s="6">
        <f t="shared" si="4"/>
        <v>5.1784585893637871</v>
      </c>
    </row>
    <row r="68" spans="1:11" ht="16.5" thickBot="1">
      <c r="A68" s="394" t="s">
        <v>27</v>
      </c>
      <c r="B68" s="395">
        <f>VLOOKUP(Ballast!C21,Constants!A43:D50,4,FALSE)-IF(Ballast!C21&lt;&gt;"None",(0.6*(8.713/2)^2*PI())/61.024,0)+IF(Ballast!C21=A44,(0.6*(8.713/2)^2*PI())/61.024,0)</f>
        <v>9.9660901153793642</v>
      </c>
      <c r="C68" s="413" t="s">
        <v>179</v>
      </c>
      <c r="D68" s="364">
        <f t="shared" si="4"/>
        <v>4.9830450576896821</v>
      </c>
    </row>
    <row r="69" spans="1:11" ht="16.5" thickBot="1">
      <c r="A69" s="396" t="s">
        <v>244</v>
      </c>
      <c r="B69" s="397">
        <f>SUMIF(B57:B68,"&lt;&gt;#N/A")</f>
        <v>61.416848945669024</v>
      </c>
      <c r="C69" s="398"/>
      <c r="D69" s="384">
        <f>SUMIF(D55:D68,"&lt;&gt;#N/A")</f>
        <v>32.509924472834506</v>
      </c>
    </row>
    <row r="71" spans="1:11" hidden="1">
      <c r="A71" s="7"/>
      <c r="B71" s="7"/>
      <c r="C71" s="7"/>
      <c r="D71" s="7"/>
    </row>
    <row r="72" spans="1:11" hidden="1"/>
    <row r="73" spans="1:11" hidden="1">
      <c r="A73" s="7"/>
    </row>
    <row r="74" spans="1:11" hidden="1">
      <c r="A74" s="7"/>
      <c r="B74" s="7"/>
      <c r="C74" s="7"/>
      <c r="D74" s="7"/>
    </row>
    <row r="75" spans="1:11" hidden="1">
      <c r="A75" s="7"/>
      <c r="B75" s="7"/>
      <c r="C75" s="7"/>
      <c r="D75" s="7"/>
    </row>
    <row r="76" spans="1:11" hidden="1">
      <c r="E76" s="372"/>
      <c r="F76" s="372"/>
      <c r="G76" s="372"/>
      <c r="H76" s="372"/>
    </row>
    <row r="77" spans="1:11" hidden="1">
      <c r="E77" s="7"/>
      <c r="F77" s="7"/>
      <c r="G77" s="7"/>
      <c r="H77" s="7"/>
    </row>
    <row r="78" spans="1:11">
      <c r="A78" s="5" t="str">
        <f>IF((Ballast!C21="None"),"Picture_1","Picture_2")</f>
        <v>Picture_2</v>
      </c>
      <c r="B78" s="5" t="str">
        <f>IF((Ballast!C21="None"),"Picture_3","Picture_4")</f>
        <v>Picture_4</v>
      </c>
      <c r="C78" s="5" t="str">
        <f>IF((Ballast!C21="None"),"Picture_5","Picture_6")</f>
        <v>Picture_6</v>
      </c>
      <c r="D78" s="5" t="str">
        <f>IF((Ballast!C21="None"),"Picture_7","Picture_8")</f>
        <v>Picture_8</v>
      </c>
      <c r="E78" s="7"/>
      <c r="F78" s="7"/>
      <c r="G78" s="7"/>
      <c r="H78" s="7"/>
    </row>
    <row r="79" spans="1:11" ht="87" customHeight="1">
      <c r="A79" s="498"/>
      <c r="B79" s="498"/>
      <c r="C79" s="497"/>
      <c r="D79" s="497"/>
      <c r="E79" s="497"/>
      <c r="F79" s="497"/>
      <c r="G79" s="497"/>
      <c r="H79" s="497"/>
      <c r="I79" s="498"/>
      <c r="J79" s="498"/>
      <c r="K79" s="498"/>
    </row>
    <row r="80" spans="1:11" ht="82.5" customHeight="1">
      <c r="A80" s="498"/>
      <c r="B80" s="498"/>
      <c r="C80" s="497"/>
      <c r="D80" s="497"/>
      <c r="E80" s="497"/>
      <c r="F80" s="497"/>
      <c r="G80" s="497"/>
      <c r="H80" s="497"/>
      <c r="I80" s="497"/>
      <c r="J80" s="497"/>
      <c r="K80" s="497"/>
    </row>
    <row r="81" spans="1:9" hidden="1">
      <c r="E81" s="7"/>
      <c r="F81" s="7"/>
      <c r="G81" s="7"/>
      <c r="H81" s="7"/>
      <c r="I81" s="7"/>
    </row>
    <row r="82" spans="1:9" hidden="1">
      <c r="E82" s="7"/>
      <c r="F82" s="7"/>
      <c r="G82" s="7"/>
      <c r="H82" s="7"/>
      <c r="I82" s="7"/>
    </row>
    <row r="83" spans="1:9" hidden="1">
      <c r="E83" s="7"/>
      <c r="F83" s="7"/>
      <c r="G83" s="7"/>
      <c r="H83" s="7"/>
      <c r="I83" s="7"/>
    </row>
    <row r="84" spans="1:9" hidden="1"/>
    <row r="85" spans="1:9" hidden="1"/>
    <row r="86" spans="1:9" hidden="1"/>
    <row r="87" spans="1:9" hidden="1"/>
    <row r="88" spans="1:9" hidden="1"/>
    <row r="89" spans="1:9" hidden="1"/>
    <row r="90" spans="1:9" hidden="1"/>
    <row r="92" spans="1:9">
      <c r="A92" s="400" t="s">
        <v>245</v>
      </c>
      <c r="B92" s="401"/>
      <c r="C92" s="402" t="s">
        <v>246</v>
      </c>
      <c r="D92" s="347"/>
      <c r="E92" s="347"/>
      <c r="F92" s="347"/>
      <c r="G92" s="347"/>
    </row>
    <row r="93" spans="1:9">
      <c r="A93" s="403" t="s">
        <v>247</v>
      </c>
      <c r="B93" s="404">
        <f>35.07/36.342</f>
        <v>0.96499917450883277</v>
      </c>
      <c r="C93" s="399"/>
      <c r="D93" s="399"/>
      <c r="E93" s="399"/>
      <c r="F93" s="399"/>
      <c r="G93" s="405"/>
    </row>
    <row r="94" spans="1:9">
      <c r="A94" s="403" t="s">
        <v>248</v>
      </c>
      <c r="B94" s="404">
        <v>1</v>
      </c>
    </row>
    <row r="95" spans="1:9">
      <c r="A95" s="403" t="s">
        <v>56</v>
      </c>
      <c r="B95" s="404">
        <v>1.052</v>
      </c>
      <c r="C95" s="7" t="s">
        <v>249</v>
      </c>
    </row>
    <row r="96" spans="1:9">
      <c r="A96" s="403" t="s">
        <v>250</v>
      </c>
      <c r="B96" s="404">
        <v>1.181634031</v>
      </c>
    </row>
    <row r="97" spans="1:2">
      <c r="A97" s="403" t="s">
        <v>251</v>
      </c>
      <c r="B97" s="404">
        <v>1.141957586</v>
      </c>
    </row>
    <row r="98" spans="1:2">
      <c r="A98" s="403" t="s">
        <v>252</v>
      </c>
      <c r="B98" s="404">
        <v>1</v>
      </c>
    </row>
    <row r="99" spans="1:2">
      <c r="A99" s="357" t="s">
        <v>253</v>
      </c>
      <c r="B99" s="406">
        <v>0.96389523799999999</v>
      </c>
    </row>
    <row r="100" spans="1:2">
      <c r="A100" s="7"/>
    </row>
  </sheetData>
  <sheetProtection algorithmName="SHA-512" hashValue="my25ybsR/76A8BkTWpy7VFVF40l8brzJ0YIXXxdSW6lViresZpagq5u5aLhQgVVVuFnzrFa3WXy8WaJ5H8gg6w==" saltValue="+jBODS6rHTPaWgyt800cxg==" spinCount="100000" sheet="1" objects="1" scenarios="1"/>
  <sortState xmlns:xlrd2="http://schemas.microsoft.com/office/spreadsheetml/2017/richdata2" ref="A92:B97">
    <sortCondition ref="A92:A97"/>
  </sortState>
  <mergeCells count="16">
    <mergeCell ref="C12:D12"/>
    <mergeCell ref="B12:B13"/>
    <mergeCell ref="E12:E13"/>
    <mergeCell ref="A12:A13"/>
    <mergeCell ref="A34:A35"/>
    <mergeCell ref="B34:B35"/>
    <mergeCell ref="C34:D34"/>
    <mergeCell ref="E34:E35"/>
    <mergeCell ref="F79:H79"/>
    <mergeCell ref="F80:H80"/>
    <mergeCell ref="I79:K79"/>
    <mergeCell ref="I80:K80"/>
    <mergeCell ref="A79:B79"/>
    <mergeCell ref="A80:B80"/>
    <mergeCell ref="C79:E79"/>
    <mergeCell ref="C80:E80"/>
  </mergeCells>
  <conditionalFormatting sqref="M2 M4">
    <cfRule type="expression" dxfId="60" priority="1">
      <formula>IF(AND($M$2="TRUE",$M$4="TRUE"),1,0)</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85"/>
  <sheetViews>
    <sheetView zoomScale="70" zoomScaleNormal="70" workbookViewId="0">
      <selection activeCell="M44" sqref="M44"/>
    </sheetView>
  </sheetViews>
  <sheetFormatPr defaultColWidth="9.28515625" defaultRowHeight="12.75"/>
  <cols>
    <col min="1" max="1" width="1" style="8" customWidth="1"/>
    <col min="2" max="2" width="25.7109375" style="8" customWidth="1"/>
    <col min="3" max="3" width="14.7109375" style="8" customWidth="1"/>
    <col min="4" max="5" width="13.28515625" style="8" customWidth="1"/>
    <col min="6" max="6" width="24.42578125" style="8" customWidth="1"/>
    <col min="7" max="7" width="15.7109375" style="8" customWidth="1"/>
    <col min="8" max="8" width="7.7109375" style="8" customWidth="1"/>
    <col min="9" max="9" width="25.28515625" style="8" customWidth="1"/>
    <col min="10" max="16384" width="9.28515625" style="8"/>
  </cols>
  <sheetData>
    <row r="1" spans="1:9" s="1" customFormat="1" ht="20.25" customHeight="1">
      <c r="B1" s="160"/>
      <c r="C1" s="160"/>
      <c r="D1" s="160"/>
      <c r="E1" s="87"/>
      <c r="F1" s="165" t="s">
        <v>0</v>
      </c>
      <c r="G1" s="320" t="str">
        <f>Ballast!$H$1</f>
        <v>4095-GBPSH</v>
      </c>
      <c r="H1" s="160"/>
      <c r="I1" s="160"/>
    </row>
    <row r="2" spans="1:9" s="1" customFormat="1" ht="20.25" customHeight="1">
      <c r="B2" s="160"/>
      <c r="C2" s="160"/>
      <c r="D2" s="160"/>
      <c r="E2" s="87"/>
      <c r="F2" s="166" t="s">
        <v>2</v>
      </c>
      <c r="G2" s="321" t="str">
        <f>Ballast!$H$2</f>
        <v>NOC 2.7</v>
      </c>
      <c r="H2" s="160"/>
      <c r="I2" s="160"/>
    </row>
    <row r="3" spans="1:9" s="1" customFormat="1" ht="20.25" customHeight="1">
      <c r="B3" s="160"/>
      <c r="C3" s="160"/>
      <c r="D3" s="160"/>
      <c r="E3" s="87"/>
      <c r="F3" s="166" t="s">
        <v>3</v>
      </c>
      <c r="G3" s="322">
        <f>Ballast!$H$3</f>
        <v>45618</v>
      </c>
      <c r="H3" s="160"/>
      <c r="I3" s="160"/>
    </row>
    <row r="4" spans="1:9" s="1" customFormat="1" ht="20.25" customHeight="1" thickBot="1">
      <c r="B4" s="160"/>
      <c r="C4" s="160"/>
      <c r="D4" s="160"/>
      <c r="E4" s="87"/>
      <c r="F4" s="167" t="s">
        <v>4</v>
      </c>
      <c r="G4" s="323">
        <f>Ballast!$H$4</f>
        <v>12698</v>
      </c>
      <c r="H4" s="160"/>
      <c r="I4" s="160"/>
    </row>
    <row r="5" spans="1:9" s="1" customFormat="1" ht="7.5" customHeight="1" thickBot="1">
      <c r="B5" s="160"/>
      <c r="C5" s="160"/>
      <c r="D5" s="160"/>
      <c r="E5" s="160"/>
      <c r="F5" s="160"/>
      <c r="G5" s="160"/>
      <c r="H5" s="160"/>
      <c r="I5" s="160"/>
    </row>
    <row r="6" spans="1:9" ht="24.75" customHeight="1" thickTop="1">
      <c r="A6" s="27"/>
      <c r="B6" s="168" t="s">
        <v>254</v>
      </c>
      <c r="C6" s="93"/>
      <c r="D6" s="93"/>
      <c r="E6" s="93"/>
      <c r="F6" s="93"/>
      <c r="G6" s="93"/>
      <c r="H6" s="93"/>
      <c r="I6" s="93"/>
    </row>
    <row r="7" spans="1:9" ht="15" customHeight="1">
      <c r="B7" s="169" t="s">
        <v>255</v>
      </c>
      <c r="C7" s="170" t="str">
        <f>IF(ISBLANK(Ballast!C14),"",Ballast!C14)</f>
        <v>unit_1104</v>
      </c>
      <c r="D7" s="171"/>
      <c r="E7" s="171"/>
      <c r="F7" s="87"/>
      <c r="G7" s="87"/>
      <c r="H7" s="89"/>
      <c r="I7" s="87"/>
    </row>
    <row r="8" spans="1:9" ht="15" customHeight="1">
      <c r="B8" s="169" t="s">
        <v>256</v>
      </c>
      <c r="C8" s="170" t="str">
        <f>IF(ISBLANK(Ballast!C15),"",Ballast!C15)</f>
        <v>Trialling OT</v>
      </c>
      <c r="D8" s="172"/>
      <c r="E8" s="43"/>
      <c r="F8" s="173" t="s">
        <v>257</v>
      </c>
      <c r="G8" s="43"/>
      <c r="H8" s="89"/>
      <c r="I8" s="87"/>
    </row>
    <row r="9" spans="1:9" ht="15" customHeight="1">
      <c r="B9" s="169" t="s">
        <v>3</v>
      </c>
      <c r="C9" s="174" t="str">
        <f>IF(ISBLANK(Ballast!C16),"",Ballast!C16)</f>
        <v>Office</v>
      </c>
      <c r="D9" s="172"/>
      <c r="E9" s="43"/>
      <c r="F9" s="175" t="s">
        <v>258</v>
      </c>
      <c r="G9" s="302">
        <f>Ballast!E41</f>
        <v>20.76</v>
      </c>
      <c r="H9" s="161"/>
      <c r="I9" s="87"/>
    </row>
    <row r="10" spans="1:9" ht="15" customHeight="1">
      <c r="B10" s="176" t="s">
        <v>259</v>
      </c>
      <c r="C10" s="177">
        <f>IF(Ballast!C36=0,"",Ballast!C36)</f>
        <v>48.822447795905191</v>
      </c>
      <c r="D10" s="178"/>
      <c r="E10" s="43"/>
      <c r="F10" s="175" t="s">
        <v>260</v>
      </c>
      <c r="G10" s="302">
        <f>Ballast!E43</f>
        <v>0</v>
      </c>
      <c r="H10" s="89"/>
      <c r="I10" s="87"/>
    </row>
    <row r="11" spans="1:9" ht="15" customHeight="1">
      <c r="B11" s="176" t="s">
        <v>261</v>
      </c>
      <c r="C11" s="177">
        <f>IF(Ballast!J32=0,"",Ballast!J32)</f>
        <v>50</v>
      </c>
      <c r="D11" s="178"/>
      <c r="E11" s="43"/>
      <c r="F11" s="175" t="s">
        <v>262</v>
      </c>
      <c r="G11" s="302">
        <f>Ballast!E46</f>
        <v>35.479999999999997</v>
      </c>
      <c r="H11" s="89"/>
      <c r="I11" s="87"/>
    </row>
    <row r="12" spans="1:9" ht="15" customHeight="1">
      <c r="B12" s="169" t="s">
        <v>263</v>
      </c>
      <c r="C12" s="179">
        <f>IF(ISERROR('G1'!J43),IF(ISERROR('G2'!J43),IF(ISERROR('G3'!J43),IF(ISERROR('G3 (External Only)'!J43),"",'G3 (External Only)'!J43),'G3'!J43),'G2'!J43),'G1'!J43)</f>
        <v>5.0457446721061814</v>
      </c>
      <c r="D12" s="43"/>
      <c r="E12" s="180"/>
      <c r="F12" s="175" t="s">
        <v>264</v>
      </c>
      <c r="G12" s="303">
        <f>Ballast!E47</f>
        <v>1024.9259515979579</v>
      </c>
      <c r="H12" s="89"/>
      <c r="I12" s="87"/>
    </row>
    <row r="13" spans="1:9" ht="7.5" customHeight="1">
      <c r="B13" s="173"/>
      <c r="C13" s="43"/>
      <c r="D13" s="43"/>
      <c r="E13" s="43"/>
      <c r="F13" s="87"/>
      <c r="G13" s="7"/>
      <c r="H13" s="89"/>
      <c r="I13" s="87"/>
    </row>
    <row r="14" spans="1:9" ht="15" customHeight="1">
      <c r="B14" s="173" t="s">
        <v>265</v>
      </c>
      <c r="C14" s="43"/>
      <c r="D14" s="43"/>
      <c r="E14" s="43"/>
      <c r="F14" s="173" t="s">
        <v>266</v>
      </c>
      <c r="G14" s="42"/>
      <c r="H14" s="89"/>
      <c r="I14" s="87"/>
    </row>
    <row r="15" spans="1:9" ht="15" customHeight="1">
      <c r="B15" s="175" t="s">
        <v>258</v>
      </c>
      <c r="C15" s="302">
        <f>Ballast!C41</f>
        <v>21.959</v>
      </c>
      <c r="D15" s="43"/>
      <c r="E15" s="43"/>
      <c r="F15" s="175" t="s">
        <v>258</v>
      </c>
      <c r="G15" s="302">
        <f>Ballast!K41</f>
        <v>0</v>
      </c>
      <c r="H15" s="89"/>
      <c r="I15" s="87"/>
    </row>
    <row r="16" spans="1:9" ht="15" customHeight="1">
      <c r="B16" s="175" t="s">
        <v>260</v>
      </c>
      <c r="C16" s="302">
        <f>Ballast!C43</f>
        <v>0</v>
      </c>
      <c r="D16" s="43"/>
      <c r="E16" s="43"/>
      <c r="F16" s="175" t="s">
        <v>262</v>
      </c>
      <c r="G16" s="302">
        <f>Ballast!K45</f>
        <v>0</v>
      </c>
      <c r="H16" s="89"/>
      <c r="I16" s="87"/>
    </row>
    <row r="17" spans="2:15" ht="15" customHeight="1">
      <c r="B17" s="175" t="s">
        <v>262</v>
      </c>
      <c r="C17" s="302">
        <f>Ballast!C46</f>
        <v>34.853000000000002</v>
      </c>
      <c r="D17" s="43"/>
      <c r="E17" s="43"/>
      <c r="F17" s="175" t="s">
        <v>267</v>
      </c>
      <c r="G17" s="303">
        <f>Ballast!K47</f>
        <v>1004.7764204065011</v>
      </c>
      <c r="H17" s="89"/>
      <c r="I17" s="87"/>
    </row>
    <row r="18" spans="2:15" ht="15" customHeight="1">
      <c r="B18" s="175" t="s">
        <v>264</v>
      </c>
      <c r="C18" s="303">
        <f>Ballast!C47</f>
        <v>1024.1190734437853</v>
      </c>
      <c r="D18" s="43"/>
      <c r="E18" s="43"/>
      <c r="F18" s="175" t="s">
        <v>268</v>
      </c>
      <c r="G18" s="304">
        <f>Ballast!K44</f>
        <v>1000</v>
      </c>
      <c r="H18" s="89"/>
      <c r="I18" s="87"/>
    </row>
    <row r="19" spans="2:15" ht="9.75" customHeight="1" thickBot="1">
      <c r="B19" s="173"/>
      <c r="C19" s="181"/>
      <c r="D19" s="43"/>
      <c r="E19" s="43"/>
      <c r="F19" s="173"/>
      <c r="G19" s="181"/>
      <c r="H19" s="89"/>
      <c r="I19" s="87"/>
    </row>
    <row r="20" spans="2:15" ht="7.5" customHeight="1" thickTop="1">
      <c r="B20" s="182"/>
      <c r="C20" s="182"/>
      <c r="D20" s="182"/>
      <c r="E20" s="182"/>
      <c r="F20" s="182"/>
      <c r="G20" s="182"/>
      <c r="H20" s="93"/>
      <c r="I20" s="93"/>
    </row>
    <row r="21" spans="2:15" ht="30" customHeight="1">
      <c r="B21" s="88" t="s">
        <v>269</v>
      </c>
      <c r="C21" s="443" t="s">
        <v>270</v>
      </c>
      <c r="D21" s="443"/>
      <c r="E21" s="443"/>
      <c r="F21" s="443"/>
      <c r="G21" s="443"/>
      <c r="H21" s="86"/>
      <c r="I21" s="26"/>
    </row>
    <row r="22" spans="2:15" ht="18" customHeight="1">
      <c r="B22" s="509" t="s">
        <v>271</v>
      </c>
      <c r="C22" s="509"/>
      <c r="D22" s="509" t="s">
        <v>272</v>
      </c>
      <c r="E22" s="509"/>
      <c r="F22" s="509" t="s">
        <v>273</v>
      </c>
      <c r="G22" s="509"/>
      <c r="H22" s="509" t="s">
        <v>441</v>
      </c>
      <c r="I22" s="509"/>
      <c r="O22" s="5"/>
    </row>
    <row r="23" spans="2:15" ht="6" customHeight="1">
      <c r="C23" s="23"/>
    </row>
    <row r="24" spans="2:15" ht="18" customHeight="1">
      <c r="B24" s="24"/>
      <c r="C24" s="24"/>
    </row>
    <row r="25" spans="2:15" ht="18" customHeight="1">
      <c r="B25" s="24"/>
      <c r="C25" s="24"/>
    </row>
    <row r="26" spans="2:15" ht="18" customHeight="1"/>
    <row r="27" spans="2:15" ht="18" customHeight="1"/>
    <row r="28" spans="2:15" ht="18" customHeight="1"/>
    <row r="29" spans="2:15" ht="18" customHeight="1"/>
    <row r="30" spans="2:15" ht="18" customHeight="1"/>
    <row r="31" spans="2:15" ht="18" customHeight="1"/>
    <row r="32" spans="2:15" ht="18" customHeight="1"/>
    <row r="33" spans="2:9" ht="18" customHeight="1" thickBot="1">
      <c r="C33" s="23"/>
    </row>
    <row r="34" spans="2:9" ht="9.75" customHeight="1" thickTop="1">
      <c r="B34" s="27"/>
      <c r="C34" s="27"/>
      <c r="D34" s="27"/>
      <c r="E34" s="27"/>
      <c r="F34" s="27"/>
      <c r="G34" s="27"/>
      <c r="H34" s="93"/>
      <c r="I34" s="93"/>
    </row>
    <row r="35" spans="2:9" ht="18" customHeight="1">
      <c r="B35" s="507" t="s">
        <v>274</v>
      </c>
      <c r="C35" s="507"/>
      <c r="D35" s="89" t="s">
        <v>275</v>
      </c>
      <c r="E35" s="25"/>
      <c r="F35" s="25"/>
      <c r="G35" s="25"/>
      <c r="H35" s="25"/>
    </row>
    <row r="36" spans="2:9" ht="28.5" customHeight="1">
      <c r="B36" s="90"/>
      <c r="C36" s="25"/>
      <c r="D36" s="25"/>
      <c r="E36" s="25"/>
      <c r="F36" s="25"/>
      <c r="G36" s="25"/>
      <c r="H36" s="25"/>
    </row>
    <row r="37" spans="2:9" ht="18" customHeight="1">
      <c r="B37" s="91"/>
      <c r="C37" s="25"/>
      <c r="D37" s="25"/>
      <c r="E37" s="25"/>
      <c r="F37" s="25"/>
      <c r="G37" s="92"/>
      <c r="H37" s="25"/>
    </row>
    <row r="38" spans="2:9" ht="18" customHeight="1">
      <c r="B38" s="91"/>
      <c r="C38" s="25"/>
      <c r="D38" s="25"/>
      <c r="E38" s="25"/>
      <c r="F38" s="25"/>
      <c r="G38" s="92"/>
      <c r="H38" s="25"/>
    </row>
    <row r="39" spans="2:9" ht="18" customHeight="1">
      <c r="B39" s="91"/>
      <c r="C39" s="25"/>
      <c r="D39" s="25"/>
      <c r="E39" s="25"/>
      <c r="F39" s="25"/>
      <c r="G39" s="92"/>
      <c r="H39" s="25"/>
    </row>
    <row r="40" spans="2:9" ht="18" customHeight="1">
      <c r="B40" s="91"/>
      <c r="C40" s="25"/>
      <c r="D40" s="25"/>
      <c r="E40" s="25"/>
      <c r="F40" s="25"/>
      <c r="G40" s="92"/>
      <c r="H40" s="25"/>
    </row>
    <row r="41" spans="2:9" ht="18" customHeight="1">
      <c r="B41" s="91"/>
      <c r="C41" s="25"/>
      <c r="D41" s="25"/>
      <c r="E41" s="25"/>
      <c r="F41" s="25"/>
      <c r="G41" s="92"/>
      <c r="H41" s="25"/>
    </row>
    <row r="42" spans="2:9" ht="18" customHeight="1">
      <c r="B42" s="91"/>
      <c r="C42" s="25"/>
      <c r="D42" s="25"/>
      <c r="E42" s="25"/>
      <c r="F42" s="25"/>
      <c r="G42" s="92"/>
      <c r="H42" s="25"/>
    </row>
    <row r="43" spans="2:9" ht="18" customHeight="1">
      <c r="B43" s="91"/>
      <c r="C43" s="25"/>
      <c r="D43" s="25"/>
      <c r="E43" s="25"/>
      <c r="F43" s="25"/>
      <c r="G43" s="92"/>
      <c r="H43" s="25"/>
    </row>
    <row r="44" spans="2:9" ht="18" customHeight="1">
      <c r="B44" s="91"/>
      <c r="C44" s="25"/>
      <c r="D44" s="25"/>
      <c r="E44" s="25"/>
      <c r="F44" s="25"/>
      <c r="G44" s="92"/>
      <c r="H44" s="25"/>
    </row>
    <row r="45" spans="2:9" ht="18" customHeight="1">
      <c r="B45" s="91"/>
      <c r="C45" s="25"/>
      <c r="D45" s="25"/>
      <c r="E45" s="25"/>
      <c r="F45" s="25"/>
      <c r="G45" s="92"/>
      <c r="H45" s="25"/>
    </row>
    <row r="46" spans="2:9" ht="18" customHeight="1">
      <c r="B46" s="91"/>
      <c r="C46" s="25"/>
      <c r="D46" s="25"/>
      <c r="E46" s="25"/>
      <c r="F46" s="25"/>
      <c r="G46" s="92"/>
      <c r="H46" s="25"/>
    </row>
    <row r="47" spans="2:9" ht="18" customHeight="1">
      <c r="B47" s="91"/>
      <c r="C47" s="25"/>
      <c r="D47" s="25"/>
      <c r="E47" s="25"/>
      <c r="F47" s="25"/>
      <c r="G47" s="25"/>
      <c r="H47" s="25"/>
    </row>
    <row r="48" spans="2:9" ht="18" customHeight="1">
      <c r="B48" s="91"/>
      <c r="C48" s="25"/>
      <c r="D48" s="25"/>
      <c r="E48" s="25"/>
      <c r="F48" s="25"/>
      <c r="G48" s="92"/>
      <c r="H48" s="25"/>
    </row>
    <row r="49" spans="2:9" ht="18" customHeight="1">
      <c r="B49" s="90"/>
      <c r="C49" s="25"/>
      <c r="D49" s="25"/>
      <c r="E49" s="25"/>
      <c r="F49" s="25"/>
      <c r="G49" s="25"/>
      <c r="H49" s="25"/>
    </row>
    <row r="50" spans="2:9" ht="21.75" customHeight="1" thickBot="1">
      <c r="B50" s="90"/>
      <c r="C50" s="25"/>
      <c r="D50" s="25"/>
      <c r="E50" s="25"/>
      <c r="F50" s="25"/>
      <c r="G50" s="25"/>
      <c r="H50" s="25"/>
    </row>
    <row r="51" spans="2:9" ht="9.75" customHeight="1" thickTop="1">
      <c r="B51" s="93"/>
      <c r="C51" s="93"/>
      <c r="D51" s="93"/>
      <c r="E51" s="93"/>
      <c r="F51" s="93"/>
      <c r="G51" s="93"/>
      <c r="H51" s="93"/>
      <c r="I51" s="93"/>
    </row>
    <row r="52" spans="2:9" ht="18" customHeight="1">
      <c r="B52" s="507" t="s">
        <v>276</v>
      </c>
      <c r="C52" s="507"/>
      <c r="D52" s="89" t="s">
        <v>277</v>
      </c>
      <c r="E52" s="25"/>
      <c r="F52" s="25"/>
      <c r="G52" s="25"/>
      <c r="H52" s="25"/>
    </row>
    <row r="53" spans="2:9" ht="18" customHeight="1">
      <c r="B53" s="90"/>
      <c r="C53" s="25"/>
      <c r="D53" s="25"/>
      <c r="E53" s="25"/>
      <c r="F53" s="25"/>
      <c r="G53" s="25"/>
      <c r="H53" s="25"/>
    </row>
    <row r="54" spans="2:9" ht="18" customHeight="1">
      <c r="B54" s="91"/>
      <c r="C54" s="25"/>
      <c r="D54" s="25"/>
      <c r="E54" s="25"/>
      <c r="F54" s="25"/>
      <c r="G54" s="92"/>
      <c r="H54" s="25"/>
    </row>
    <row r="55" spans="2:9" ht="18" customHeight="1">
      <c r="B55" s="91"/>
      <c r="C55" s="25"/>
      <c r="D55" s="25"/>
      <c r="E55" s="25"/>
      <c r="F55" s="25"/>
      <c r="G55" s="25"/>
      <c r="H55" s="25"/>
    </row>
    <row r="56" spans="2:9" ht="18" customHeight="1">
      <c r="B56" s="94"/>
      <c r="C56" s="25"/>
      <c r="D56" s="25"/>
      <c r="E56" s="25"/>
      <c r="F56" s="25"/>
      <c r="G56" s="95"/>
      <c r="H56" s="25"/>
    </row>
    <row r="57" spans="2:9" ht="18" customHeight="1">
      <c r="B57" s="91"/>
      <c r="C57" s="25"/>
      <c r="D57" s="25"/>
      <c r="E57" s="25"/>
      <c r="F57" s="25"/>
      <c r="G57" s="25"/>
      <c r="H57" s="25"/>
    </row>
    <row r="58" spans="2:9" ht="18" customHeight="1">
      <c r="B58" s="91"/>
      <c r="C58" s="25"/>
      <c r="D58" s="25"/>
      <c r="E58" s="25"/>
      <c r="F58" s="25"/>
      <c r="G58" s="92"/>
      <c r="H58" s="25"/>
    </row>
    <row r="59" spans="2:9" ht="18" customHeight="1">
      <c r="B59" s="90"/>
      <c r="C59" s="25"/>
      <c r="D59" s="25"/>
      <c r="E59" s="25"/>
      <c r="F59" s="25"/>
      <c r="G59" s="25"/>
      <c r="H59" s="25"/>
    </row>
    <row r="60" spans="2:9" ht="21.75" customHeight="1" thickBot="1">
      <c r="B60" s="90"/>
      <c r="C60" s="25"/>
      <c r="D60" s="25"/>
      <c r="E60" s="25"/>
      <c r="F60" s="25"/>
      <c r="G60" s="25"/>
      <c r="H60" s="25"/>
    </row>
    <row r="61" spans="2:9" ht="9.75" customHeight="1" thickTop="1">
      <c r="B61" s="93"/>
      <c r="C61" s="93"/>
      <c r="D61" s="93"/>
      <c r="E61" s="93"/>
      <c r="F61" s="93"/>
      <c r="G61" s="93"/>
      <c r="H61" s="93"/>
      <c r="I61" s="93"/>
    </row>
    <row r="62" spans="2:9" ht="18" customHeight="1">
      <c r="B62" s="507" t="s">
        <v>278</v>
      </c>
      <c r="C62" s="507"/>
      <c r="D62" s="89" t="s">
        <v>279</v>
      </c>
      <c r="E62" s="25"/>
      <c r="F62" s="25"/>
      <c r="G62" s="25"/>
      <c r="H62" s="25"/>
    </row>
    <row r="63" spans="2:9" ht="28.5" customHeight="1">
      <c r="B63" s="90"/>
      <c r="C63" s="25"/>
      <c r="D63" s="25"/>
      <c r="E63" s="25"/>
      <c r="F63" s="25"/>
      <c r="G63" s="25"/>
      <c r="H63" s="25"/>
    </row>
    <row r="64" spans="2:9" ht="18" customHeight="1">
      <c r="B64" s="91"/>
      <c r="C64" s="25"/>
      <c r="D64" s="25"/>
      <c r="E64" s="25"/>
      <c r="F64" s="25"/>
      <c r="G64" s="92"/>
      <c r="H64" s="25"/>
    </row>
    <row r="65" spans="2:13" ht="18" customHeight="1">
      <c r="B65" s="91"/>
      <c r="C65" s="25"/>
      <c r="D65" s="25"/>
      <c r="E65" s="25"/>
      <c r="F65" s="25"/>
      <c r="G65" s="92"/>
      <c r="H65" s="25"/>
    </row>
    <row r="66" spans="2:13" ht="18" customHeight="1">
      <c r="B66" s="91"/>
      <c r="C66" s="25"/>
      <c r="D66" s="25"/>
      <c r="E66" s="25"/>
      <c r="F66" s="25"/>
      <c r="G66" s="92"/>
      <c r="H66" s="25"/>
    </row>
    <row r="67" spans="2:13" ht="18" customHeight="1">
      <c r="B67" s="91"/>
      <c r="C67" s="25"/>
      <c r="D67" s="25"/>
      <c r="E67" s="25"/>
      <c r="F67" s="25"/>
      <c r="G67" s="92"/>
      <c r="H67" s="25"/>
    </row>
    <row r="68" spans="2:13" ht="18" customHeight="1">
      <c r="B68" s="91"/>
      <c r="C68" s="25"/>
      <c r="D68" s="25"/>
      <c r="E68" s="25"/>
      <c r="F68" s="25"/>
      <c r="G68" s="25"/>
      <c r="H68" s="25"/>
    </row>
    <row r="69" spans="2:13" ht="18" customHeight="1">
      <c r="B69" s="91"/>
      <c r="C69" s="25"/>
      <c r="D69" s="25"/>
      <c r="E69" s="25"/>
      <c r="F69" s="25"/>
      <c r="G69" s="92"/>
      <c r="H69" s="25"/>
    </row>
    <row r="70" spans="2:13" ht="18" customHeight="1">
      <c r="B70" s="90"/>
      <c r="C70" s="25"/>
      <c r="D70" s="25"/>
      <c r="E70" s="25"/>
      <c r="F70" s="25"/>
      <c r="G70" s="25"/>
      <c r="H70" s="25"/>
    </row>
    <row r="71" spans="2:13" ht="21.75" customHeight="1" thickBot="1">
      <c r="B71" s="90"/>
      <c r="C71" s="25"/>
      <c r="D71" s="25"/>
      <c r="E71" s="25"/>
      <c r="F71" s="25"/>
      <c r="G71" s="25"/>
      <c r="H71" s="25"/>
    </row>
    <row r="72" spans="2:13" ht="9.75" customHeight="1" thickTop="1">
      <c r="B72" s="96"/>
      <c r="C72" s="28"/>
      <c r="D72" s="28"/>
      <c r="E72" s="28"/>
      <c r="F72" s="28"/>
      <c r="G72" s="28"/>
      <c r="H72" s="93"/>
      <c r="I72" s="93"/>
    </row>
    <row r="73" spans="2:13" ht="18" customHeight="1">
      <c r="B73" s="112" t="s">
        <v>280</v>
      </c>
      <c r="C73" s="157"/>
      <c r="D73" s="157"/>
      <c r="E73" s="87"/>
      <c r="F73" s="87"/>
      <c r="G73" s="87"/>
    </row>
    <row r="74" spans="2:13" ht="8.25" customHeight="1">
      <c r="B74" s="183"/>
      <c r="C74" s="87"/>
      <c r="D74" s="87"/>
      <c r="E74" s="87"/>
      <c r="F74" s="87"/>
      <c r="G74" s="87"/>
    </row>
    <row r="75" spans="2:13" ht="12" customHeight="1" thickBot="1">
      <c r="B75" s="184" t="s">
        <v>281</v>
      </c>
      <c r="C75" s="184" t="s">
        <v>282</v>
      </c>
      <c r="D75" s="184" t="s">
        <v>283</v>
      </c>
      <c r="E75" s="184" t="s">
        <v>282</v>
      </c>
      <c r="F75" s="184" t="s">
        <v>284</v>
      </c>
      <c r="G75" s="184" t="s">
        <v>282</v>
      </c>
      <c r="H75" s="510"/>
      <c r="I75" s="511"/>
      <c r="L75" s="512"/>
      <c r="M75" s="512"/>
    </row>
    <row r="76" spans="2:13" ht="12" customHeight="1" thickTop="1">
      <c r="B76" s="97" t="s">
        <v>285</v>
      </c>
      <c r="C76" s="98"/>
      <c r="D76" s="97" t="s">
        <v>286</v>
      </c>
      <c r="E76" s="98"/>
      <c r="F76" s="97" t="s">
        <v>285</v>
      </c>
      <c r="G76" s="98"/>
      <c r="H76" s="23"/>
      <c r="I76" s="508"/>
      <c r="J76" s="508"/>
      <c r="K76" s="508"/>
      <c r="L76" s="508"/>
      <c r="M76" s="185"/>
    </row>
    <row r="77" spans="2:13" ht="12" customHeight="1">
      <c r="B77" s="99" t="s">
        <v>287</v>
      </c>
      <c r="C77" s="100" t="s">
        <v>288</v>
      </c>
      <c r="D77" s="99" t="s">
        <v>289</v>
      </c>
      <c r="E77" s="100"/>
      <c r="F77" s="99" t="s">
        <v>287</v>
      </c>
      <c r="G77" s="100"/>
      <c r="H77" s="24"/>
      <c r="I77" s="508"/>
      <c r="J77" s="508"/>
      <c r="K77" s="508"/>
      <c r="L77" s="508"/>
      <c r="M77" s="185"/>
    </row>
    <row r="78" spans="2:13" ht="12" customHeight="1">
      <c r="B78" s="99" t="s">
        <v>290</v>
      </c>
      <c r="C78" s="100"/>
      <c r="D78" s="99" t="s">
        <v>291</v>
      </c>
      <c r="E78" s="100"/>
      <c r="F78" s="99" t="s">
        <v>440</v>
      </c>
      <c r="G78" s="100"/>
      <c r="H78" s="23"/>
      <c r="I78" s="23"/>
      <c r="K78" s="508"/>
      <c r="L78" s="508"/>
      <c r="M78" s="185"/>
    </row>
    <row r="79" spans="2:13" ht="12" customHeight="1">
      <c r="B79" s="99" t="s">
        <v>292</v>
      </c>
      <c r="C79" s="100" t="s">
        <v>288</v>
      </c>
      <c r="D79" s="99" t="s">
        <v>293</v>
      </c>
      <c r="E79" s="100"/>
      <c r="F79" s="99"/>
      <c r="G79" s="99"/>
      <c r="H79" s="24"/>
      <c r="I79" s="508"/>
      <c r="J79" s="508"/>
      <c r="K79" s="508"/>
      <c r="L79" s="508"/>
      <c r="M79" s="185"/>
    </row>
    <row r="80" spans="2:13" ht="12" customHeight="1">
      <c r="B80" s="99" t="s">
        <v>294</v>
      </c>
      <c r="C80" s="100"/>
      <c r="D80" s="99" t="s">
        <v>295</v>
      </c>
      <c r="E80" s="102"/>
      <c r="F80" s="101"/>
      <c r="G80" s="101"/>
      <c r="H80" s="186"/>
      <c r="I80" s="186"/>
      <c r="J80" s="186"/>
      <c r="K80" s="186"/>
      <c r="L80" s="186"/>
      <c r="M80" s="186"/>
    </row>
    <row r="81" spans="2:13" ht="12" customHeight="1">
      <c r="B81" s="103"/>
      <c r="C81" s="103"/>
      <c r="D81" s="104"/>
      <c r="E81" s="103"/>
      <c r="F81" s="103"/>
      <c r="G81" s="103"/>
      <c r="H81" s="186"/>
      <c r="I81" s="186"/>
      <c r="J81" s="186"/>
      <c r="K81" s="186"/>
      <c r="L81" s="186"/>
      <c r="M81" s="186"/>
    </row>
    <row r="82" spans="2:13" ht="12" customHeight="1">
      <c r="B82" s="99" t="s">
        <v>296</v>
      </c>
      <c r="C82" s="99" t="str">
        <f>IF(ISBLANK(Ballast!C26),"",Ballast!C26)</f>
        <v>None</v>
      </c>
      <c r="D82" s="104"/>
      <c r="E82" s="103"/>
      <c r="F82" s="103"/>
      <c r="G82" s="103"/>
      <c r="H82" s="186"/>
      <c r="I82" s="186"/>
      <c r="J82" s="186"/>
      <c r="K82" s="186"/>
      <c r="L82" s="186"/>
      <c r="M82" s="186"/>
    </row>
    <row r="83" spans="2:13" ht="12" customHeight="1">
      <c r="B83" s="105" t="s">
        <v>297</v>
      </c>
      <c r="C83" s="99" t="str">
        <f>IF(ISBLANK(Ballast!C27),"",Ballast!C27)</f>
        <v>None</v>
      </c>
      <c r="D83" s="87"/>
      <c r="E83" s="87"/>
      <c r="F83" s="87"/>
      <c r="G83" s="87"/>
    </row>
    <row r="84" spans="2:13" ht="12" customHeight="1">
      <c r="B84" s="106"/>
      <c r="C84" s="106"/>
      <c r="D84" s="87"/>
      <c r="E84" s="87"/>
      <c r="F84" s="87"/>
      <c r="G84" s="87"/>
    </row>
    <row r="85" spans="2:13">
      <c r="B85" s="87"/>
      <c r="C85" s="87"/>
      <c r="D85" s="87"/>
      <c r="E85" s="87"/>
      <c r="F85" s="87"/>
      <c r="G85" s="87"/>
    </row>
  </sheetData>
  <sheetProtection algorithmName="SHA-512" hashValue="mo0Jg90OYH+2i9KEDU0nZSUS0JYF4/o/r6ub+n5p1ZQSD6q4YVfhL+sAAyYYMcpLSFl0fpDSB+bHvHBV8cYXrg==" saltValue="VdvyD+jQQREicvB1C8P+SQ==" spinCount="100000" sheet="1" scenarios="1"/>
  <mergeCells count="17">
    <mergeCell ref="I79:J79"/>
    <mergeCell ref="K79:L79"/>
    <mergeCell ref="C21:G21"/>
    <mergeCell ref="B35:C35"/>
    <mergeCell ref="I77:J77"/>
    <mergeCell ref="K77:L77"/>
    <mergeCell ref="K78:L78"/>
    <mergeCell ref="D22:E22"/>
    <mergeCell ref="F22:G22"/>
    <mergeCell ref="B22:C22"/>
    <mergeCell ref="I76:J76"/>
    <mergeCell ref="K76:L76"/>
    <mergeCell ref="H75:I75"/>
    <mergeCell ref="L75:M75"/>
    <mergeCell ref="B52:C52"/>
    <mergeCell ref="B62:C62"/>
    <mergeCell ref="H22:I22"/>
  </mergeCells>
  <phoneticPr fontId="0" type="noConversion"/>
  <pageMargins left="0.7" right="0.7" top="0.75" bottom="0.75" header="0.3" footer="0.3"/>
  <pageSetup scale="82"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1:N101"/>
  <sheetViews>
    <sheetView workbookViewId="0">
      <selection activeCell="B63" sqref="B63"/>
    </sheetView>
  </sheetViews>
  <sheetFormatPr defaultColWidth="9.28515625" defaultRowHeight="12.75"/>
  <cols>
    <col min="1" max="1" width="27.7109375" style="1" customWidth="1"/>
    <col min="2" max="2" width="20.28515625" style="1" customWidth="1"/>
    <col min="3" max="3" width="21.28515625" style="1" customWidth="1"/>
    <col min="4" max="4" width="16.28515625" style="1" customWidth="1"/>
    <col min="5" max="5" width="20" style="1" customWidth="1"/>
    <col min="6" max="6" width="9.28515625" style="194" customWidth="1"/>
    <col min="7" max="12" width="9.28515625" style="1" customWidth="1"/>
    <col min="13" max="16384" width="9.28515625" style="1"/>
  </cols>
  <sheetData>
    <row r="1" spans="1:11" ht="20.25" customHeight="1">
      <c r="C1" s="187"/>
      <c r="D1" s="165" t="s">
        <v>0</v>
      </c>
      <c r="E1" s="320" t="str">
        <f>Ballast!$H$1</f>
        <v>4095-GBPSH</v>
      </c>
      <c r="F1" s="1"/>
      <c r="G1" s="160"/>
    </row>
    <row r="2" spans="1:11" ht="20.25" customHeight="1">
      <c r="C2" s="187"/>
      <c r="D2" s="166" t="s">
        <v>2</v>
      </c>
      <c r="E2" s="321" t="str">
        <f>Ballast!$H$2</f>
        <v>NOC 2.7</v>
      </c>
      <c r="F2" s="1"/>
      <c r="G2" s="160"/>
    </row>
    <row r="3" spans="1:11" ht="20.25" customHeight="1">
      <c r="C3" s="187"/>
      <c r="D3" s="166" t="s">
        <v>3</v>
      </c>
      <c r="E3" s="322">
        <f>Ballast!$H$3</f>
        <v>45618</v>
      </c>
      <c r="F3" s="1"/>
    </row>
    <row r="4" spans="1:11" ht="20.25" customHeight="1" thickBot="1">
      <c r="A4" s="522" t="str">
        <f>IF(Ballast!C17&lt;&gt;"","","Please Select Glider Type in Ballast Sheet")</f>
        <v/>
      </c>
      <c r="B4" s="522"/>
      <c r="C4" s="523"/>
      <c r="D4" s="167" t="s">
        <v>4</v>
      </c>
      <c r="E4" s="323">
        <f>Ballast!$H$4</f>
        <v>12698</v>
      </c>
      <c r="F4" s="1"/>
    </row>
    <row r="5" spans="1:11" ht="5.25" customHeight="1" thickBot="1">
      <c r="A5" s="188"/>
      <c r="B5" s="188"/>
      <c r="C5" s="188"/>
      <c r="D5" s="176"/>
      <c r="E5" s="189"/>
      <c r="F5" s="1"/>
    </row>
    <row r="6" spans="1:11" ht="15.75" customHeight="1" thickTop="1">
      <c r="A6" s="190" t="s">
        <v>298</v>
      </c>
      <c r="B6" s="191" t="str">
        <f>IF(ISBLANK(Ballast!C14),"",Ballast!C14)</f>
        <v>unit_1104</v>
      </c>
      <c r="C6" s="526" t="str">
        <f>IF(Ballast!C17=Constants!A2,"",IF(Ballast!C17=Constants!A3,"","Wrong Generation Glider Selected"))</f>
        <v>Wrong Generation Glider Selected</v>
      </c>
      <c r="D6" s="9"/>
      <c r="E6" s="9"/>
      <c r="F6" s="1"/>
    </row>
    <row r="7" spans="1:11" ht="13.5" thickBot="1">
      <c r="A7" s="192" t="s">
        <v>3</v>
      </c>
      <c r="B7" s="193" t="str">
        <f>IF(ISBLANK(Ballast!C16),"",Ballast!C16)</f>
        <v>Office</v>
      </c>
      <c r="C7" s="527"/>
    </row>
    <row r="9" spans="1:11" ht="12.75" customHeight="1">
      <c r="A9" s="530"/>
      <c r="B9" s="530"/>
      <c r="C9" s="530"/>
      <c r="D9" s="530"/>
      <c r="E9" s="531" t="s">
        <v>8</v>
      </c>
      <c r="F9" s="531"/>
      <c r="G9" s="531"/>
      <c r="H9" s="531"/>
      <c r="I9" s="531"/>
      <c r="J9" s="531"/>
      <c r="K9" s="531"/>
    </row>
    <row r="10" spans="1:11" ht="12.75" customHeight="1">
      <c r="A10" s="530"/>
      <c r="B10" s="530"/>
      <c r="C10" s="530"/>
      <c r="D10" s="530"/>
      <c r="E10" s="531"/>
      <c r="F10" s="531"/>
      <c r="G10" s="531"/>
      <c r="H10" s="531"/>
      <c r="I10" s="531"/>
      <c r="J10" s="531"/>
      <c r="K10" s="531"/>
    </row>
    <row r="11" spans="1:11" ht="12.75" customHeight="1">
      <c r="A11" s="530"/>
      <c r="B11" s="530"/>
      <c r="C11" s="530"/>
      <c r="D11" s="530"/>
      <c r="E11" s="531"/>
      <c r="F11" s="531"/>
      <c r="G11" s="531"/>
      <c r="H11" s="531"/>
      <c r="I11" s="531"/>
      <c r="J11" s="531"/>
      <c r="K11" s="531"/>
    </row>
    <row r="12" spans="1:11">
      <c r="A12" s="530"/>
      <c r="B12" s="530"/>
      <c r="C12" s="530"/>
      <c r="D12" s="530"/>
      <c r="E12" s="531"/>
      <c r="F12" s="531"/>
      <c r="G12" s="531"/>
      <c r="H12" s="531"/>
      <c r="I12" s="531"/>
      <c r="J12" s="531"/>
      <c r="K12" s="531"/>
    </row>
    <row r="13" spans="1:11" ht="14.25" customHeight="1">
      <c r="A13" s="530"/>
      <c r="B13" s="530"/>
      <c r="C13" s="530"/>
      <c r="D13" s="530"/>
      <c r="E13" s="532" t="s">
        <v>17</v>
      </c>
      <c r="F13" s="532"/>
      <c r="G13" s="532"/>
      <c r="H13" s="532"/>
      <c r="I13" s="532"/>
      <c r="J13" s="532"/>
      <c r="K13" s="532"/>
    </row>
    <row r="14" spans="1:11">
      <c r="A14" s="530"/>
      <c r="B14" s="530"/>
      <c r="C14" s="530"/>
      <c r="D14" s="530"/>
      <c r="E14" s="532"/>
      <c r="F14" s="532"/>
      <c r="G14" s="532"/>
      <c r="H14" s="532"/>
      <c r="I14" s="532"/>
      <c r="J14" s="532"/>
      <c r="K14" s="532"/>
    </row>
    <row r="15" spans="1:11">
      <c r="A15" s="524" t="s">
        <v>299</v>
      </c>
      <c r="B15" s="524"/>
      <c r="C15" s="524"/>
      <c r="D15" s="524"/>
    </row>
    <row r="16" spans="1:11" ht="13.5" thickBot="1">
      <c r="A16" s="195"/>
    </row>
    <row r="17" spans="1:14">
      <c r="A17" s="196" t="s">
        <v>300</v>
      </c>
      <c r="B17" s="10"/>
      <c r="C17" s="10"/>
      <c r="D17" s="11"/>
      <c r="E17"/>
      <c r="G17" s="197" t="s">
        <v>301</v>
      </c>
      <c r="H17" s="198"/>
      <c r="I17" s="199"/>
      <c r="J17" s="198"/>
      <c r="K17" s="200"/>
    </row>
    <row r="18" spans="1:14">
      <c r="A18" s="12"/>
      <c r="B18" s="201" t="s">
        <v>302</v>
      </c>
      <c r="C18" s="67"/>
      <c r="D18" s="13" t="s">
        <v>63</v>
      </c>
      <c r="E18" s="277" t="str">
        <f>IF(C18&gt;5000,"Error: scale reading too high",IF(C18&lt;0,"Error: scale reading should be positive",""))</f>
        <v/>
      </c>
      <c r="F18" s="14"/>
      <c r="G18" s="202"/>
      <c r="I18" s="203" t="s">
        <v>303</v>
      </c>
      <c r="J18" s="278">
        <f>Ballast!J32*1000</f>
        <v>50000</v>
      </c>
      <c r="K18" s="205" t="s">
        <v>63</v>
      </c>
    </row>
    <row r="19" spans="1:14">
      <c r="A19" s="15"/>
      <c r="B19" s="206" t="s">
        <v>304</v>
      </c>
      <c r="C19" s="67"/>
      <c r="D19" s="13" t="s">
        <v>63</v>
      </c>
      <c r="E19" s="277" t="str">
        <f>IF(C19&gt;5000,"Error: scale reading too high",IF(C19&lt;0,"Error: scale reading should be positive",""))</f>
        <v/>
      </c>
      <c r="F19" s="1"/>
      <c r="G19" s="202"/>
      <c r="I19" s="203" t="s">
        <v>305</v>
      </c>
      <c r="J19" s="273">
        <f>C18+C19</f>
        <v>0</v>
      </c>
      <c r="K19" s="205" t="s">
        <v>63</v>
      </c>
    </row>
    <row r="20" spans="1:14">
      <c r="A20" s="15"/>
      <c r="B20" s="206" t="s">
        <v>306</v>
      </c>
      <c r="C20" s="273">
        <f>Ballast!G48</f>
        <v>36.183914587503274</v>
      </c>
      <c r="D20" s="13" t="s">
        <v>63</v>
      </c>
      <c r="E20"/>
      <c r="F20" s="1"/>
      <c r="G20" s="202"/>
      <c r="I20" s="203" t="s">
        <v>307</v>
      </c>
      <c r="J20" s="278">
        <f>Ballast!C36</f>
        <v>48.822447795905191</v>
      </c>
      <c r="K20" s="205" t="s">
        <v>44</v>
      </c>
    </row>
    <row r="21" spans="1:14">
      <c r="A21" s="16"/>
      <c r="B21" s="207" t="str">
        <f>IF((C18+C19-C20)&gt;0,"Total weight to remove:","Total weight to add:")</f>
        <v>Total weight to add:</v>
      </c>
      <c r="C21" s="274">
        <f>ABS(C18+C19-C20)</f>
        <v>36.183914587503274</v>
      </c>
      <c r="D21" s="208" t="s">
        <v>63</v>
      </c>
      <c r="E21"/>
      <c r="F21" s="1"/>
      <c r="G21" s="202"/>
      <c r="I21" s="203" t="s">
        <v>308</v>
      </c>
      <c r="J21" s="278">
        <f>Ballast!M50</f>
        <v>48.492447795905193</v>
      </c>
      <c r="K21" s="205" t="s">
        <v>44</v>
      </c>
    </row>
    <row r="22" spans="1:14">
      <c r="A22" s="15"/>
      <c r="C22" s="17"/>
      <c r="D22" s="13"/>
      <c r="E22"/>
      <c r="F22" s="1"/>
      <c r="G22" s="202"/>
      <c r="I22" s="203" t="s">
        <v>309</v>
      </c>
      <c r="J22" s="279">
        <f>Ballast!G41+((Ballast!E47/1000)*(J20*1000))-J18</f>
        <v>36.183914587491017</v>
      </c>
      <c r="K22" s="205" t="s">
        <v>63</v>
      </c>
      <c r="L22" s="528" t="s">
        <v>310</v>
      </c>
      <c r="M22" s="529"/>
      <c r="N22" s="529"/>
    </row>
    <row r="23" spans="1:14" ht="13.5" thickBot="1">
      <c r="A23" s="15"/>
      <c r="B23" s="209" t="s">
        <v>311</v>
      </c>
      <c r="C23" s="210" t="s">
        <v>312</v>
      </c>
      <c r="D23" s="13"/>
      <c r="E23"/>
      <c r="G23" s="211"/>
      <c r="H23" s="22"/>
      <c r="I23" s="212" t="s">
        <v>313</v>
      </c>
      <c r="J23" s="280">
        <f>Ballast!M41+((Ballast!K47/1000)*(J21*1000))-J18</f>
        <v>-1333.562776704006</v>
      </c>
      <c r="K23" s="213" t="s">
        <v>63</v>
      </c>
      <c r="L23" s="528"/>
      <c r="M23" s="529"/>
      <c r="N23" s="529"/>
    </row>
    <row r="24" spans="1:14" ht="13.5" thickBot="1">
      <c r="A24" s="15"/>
      <c r="B24" s="214" t="s">
        <v>314</v>
      </c>
      <c r="C24" s="214" t="s">
        <v>314</v>
      </c>
      <c r="D24" s="13"/>
      <c r="E24"/>
    </row>
    <row r="25" spans="1:14">
      <c r="A25" s="204" t="s">
        <v>315</v>
      </c>
      <c r="B25" s="77">
        <v>30</v>
      </c>
      <c r="C25" s="275" t="e">
        <f>(B25/25.4)-$C$53</f>
        <v>#VALUE!</v>
      </c>
      <c r="D25" s="13"/>
      <c r="E25" t="str">
        <f>IF(B25&lt;-250,"Error: Check scale position",IF(B25&gt;750, "Error, check scale position",""))</f>
        <v/>
      </c>
      <c r="G25" s="197" t="s">
        <v>316</v>
      </c>
      <c r="H25" s="215"/>
      <c r="I25" s="198"/>
      <c r="J25" s="198"/>
      <c r="K25" s="200"/>
    </row>
    <row r="26" spans="1:14">
      <c r="A26" s="204" t="s">
        <v>317</v>
      </c>
      <c r="B26" s="77">
        <v>1030</v>
      </c>
      <c r="C26" s="275" t="e">
        <f>(B26/25.4)-$C$53</f>
        <v>#VALUE!</v>
      </c>
      <c r="D26" s="13"/>
      <c r="E26" t="str">
        <f>IF(B26&lt;500,"Error: Check scale position",IF(B26&gt;1770, "Error, check scale position",""))</f>
        <v/>
      </c>
      <c r="G26" s="15"/>
      <c r="I26" s="203" t="s">
        <v>318</v>
      </c>
      <c r="J26" s="278">
        <f>VLOOKUP(Ballast!C17,Constants!A1:C8,3,FALSE)</f>
        <v>460</v>
      </c>
      <c r="K26" s="205" t="s">
        <v>319</v>
      </c>
    </row>
    <row r="27" spans="1:14">
      <c r="A27" s="15"/>
      <c r="C27"/>
      <c r="D27" s="13"/>
      <c r="E27"/>
      <c r="G27" s="15"/>
      <c r="I27" s="203" t="s">
        <v>320</v>
      </c>
      <c r="J27" s="279">
        <f>J22+J26</f>
        <v>496.18391458749102</v>
      </c>
      <c r="K27" s="205" t="s">
        <v>63</v>
      </c>
      <c r="L27" s="528" t="s">
        <v>310</v>
      </c>
      <c r="M27" s="529"/>
      <c r="N27" s="529"/>
    </row>
    <row r="28" spans="1:14" ht="13.5" thickBot="1">
      <c r="A28" s="18"/>
      <c r="B28" s="216" t="s">
        <v>321</v>
      </c>
      <c r="C28" s="276" t="e">
        <f>(C18*C25)+(C19*C26)</f>
        <v>#VALUE!</v>
      </c>
      <c r="D28" s="217" t="s">
        <v>322</v>
      </c>
      <c r="E28"/>
      <c r="G28" s="15"/>
      <c r="I28" s="203" t="s">
        <v>323</v>
      </c>
      <c r="J28" s="279">
        <f>J22-J26</f>
        <v>-423.81608541250898</v>
      </c>
      <c r="K28" s="205" t="s">
        <v>63</v>
      </c>
      <c r="L28" s="528"/>
      <c r="M28" s="529"/>
      <c r="N28" s="529"/>
    </row>
    <row r="29" spans="1:14" ht="13.5" thickBot="1">
      <c r="B29" s="19"/>
      <c r="G29" s="15"/>
      <c r="I29" s="203" t="s">
        <v>324</v>
      </c>
      <c r="J29" s="279">
        <f>J23+J26</f>
        <v>-873.56277670400596</v>
      </c>
      <c r="K29" s="205" t="s">
        <v>63</v>
      </c>
      <c r="L29" s="528"/>
      <c r="M29" s="529"/>
      <c r="N29" s="529"/>
    </row>
    <row r="30" spans="1:14" ht="13.5" thickBot="1">
      <c r="A30" s="218" t="s">
        <v>325</v>
      </c>
      <c r="B30" s="10"/>
      <c r="C30" s="10"/>
      <c r="D30" s="11"/>
      <c r="G30" s="18"/>
      <c r="H30" s="22"/>
      <c r="I30" s="212" t="s">
        <v>326</v>
      </c>
      <c r="J30" s="280">
        <f>J23-J26</f>
        <v>-1793.562776704006</v>
      </c>
      <c r="K30" s="213" t="s">
        <v>63</v>
      </c>
      <c r="L30" s="528"/>
      <c r="M30" s="529"/>
      <c r="N30" s="529"/>
    </row>
    <row r="31" spans="1:14" ht="13.5" thickBot="1">
      <c r="A31" s="15"/>
      <c r="D31" s="13"/>
    </row>
    <row r="32" spans="1:14" ht="25.5">
      <c r="A32" s="219" t="s">
        <v>327</v>
      </c>
      <c r="B32" s="219" t="s">
        <v>328</v>
      </c>
      <c r="C32" s="10" t="s">
        <v>329</v>
      </c>
      <c r="D32" s="220" t="s">
        <v>330</v>
      </c>
      <c r="E32" s="219" t="s">
        <v>331</v>
      </c>
      <c r="G32" s="197" t="s">
        <v>332</v>
      </c>
      <c r="H32" s="198"/>
      <c r="I32" s="198"/>
      <c r="J32" s="198"/>
      <c r="K32" s="200"/>
    </row>
    <row r="33" spans="1:12" ht="13.5" customHeight="1" thickBot="1">
      <c r="A33" s="30" t="s">
        <v>333</v>
      </c>
      <c r="B33" s="30"/>
      <c r="C33" s="22" t="s">
        <v>334</v>
      </c>
      <c r="D33" s="30" t="s">
        <v>335</v>
      </c>
      <c r="E33" s="418" t="s">
        <v>336</v>
      </c>
      <c r="G33" s="516" t="s">
        <v>337</v>
      </c>
      <c r="H33" s="517"/>
      <c r="I33" s="517"/>
      <c r="J33" s="517"/>
      <c r="K33" s="518"/>
    </row>
    <row r="34" spans="1:12">
      <c r="A34" s="68">
        <v>1</v>
      </c>
      <c r="B34" s="29" t="str">
        <f>A57</f>
        <v>Forward Top</v>
      </c>
      <c r="C34" s="69">
        <v>0</v>
      </c>
      <c r="D34" s="281" t="e">
        <f t="shared" ref="D34:D43" si="0">C57*C34</f>
        <v>#VALUE!</v>
      </c>
      <c r="E34" s="285"/>
      <c r="F34" s="287" t="str">
        <f t="shared" ref="F34:F41" si="1">IF(ABS(C34)&gt;5000,"Error: Weight adjustment too high","")</f>
        <v/>
      </c>
      <c r="G34" s="519"/>
      <c r="H34" s="443"/>
      <c r="I34" s="443"/>
      <c r="J34" s="443"/>
      <c r="K34" s="520"/>
    </row>
    <row r="35" spans="1:12">
      <c r="A35" s="69" t="str">
        <f>IF(A58="Forward Bottom",1,IF(A58="Unused",0,""))</f>
        <v/>
      </c>
      <c r="B35" s="29" t="str">
        <f>A58</f>
        <v/>
      </c>
      <c r="C35" s="69">
        <v>0</v>
      </c>
      <c r="D35" s="282" t="e">
        <f t="shared" si="0"/>
        <v>#VALUE!</v>
      </c>
      <c r="E35" s="285"/>
      <c r="F35" s="287" t="str">
        <f t="shared" si="1"/>
        <v/>
      </c>
      <c r="G35" s="513" t="s">
        <v>448</v>
      </c>
      <c r="H35" s="514"/>
      <c r="I35" s="514"/>
      <c r="J35" s="514"/>
      <c r="K35" s="515"/>
    </row>
    <row r="36" spans="1:12">
      <c r="A36" s="69">
        <v>1</v>
      </c>
      <c r="B36" s="29" t="str">
        <f>A59</f>
        <v>Sci Fwd Bottles</v>
      </c>
      <c r="C36" s="69">
        <v>0</v>
      </c>
      <c r="D36" s="282" t="e">
        <f t="shared" si="0"/>
        <v>#VALUE!</v>
      </c>
      <c r="E36" s="285"/>
      <c r="F36" s="287" t="str">
        <f t="shared" si="1"/>
        <v/>
      </c>
      <c r="G36" s="513" t="s">
        <v>338</v>
      </c>
      <c r="H36" s="514"/>
      <c r="I36" s="514"/>
      <c r="J36" s="514"/>
      <c r="K36" s="515"/>
    </row>
    <row r="37" spans="1:12">
      <c r="A37" s="69">
        <v>1</v>
      </c>
      <c r="B37" s="29" t="str">
        <f>A60</f>
        <v>Sci Fwd Disc</v>
      </c>
      <c r="C37" s="69">
        <v>0</v>
      </c>
      <c r="D37" s="282" t="e">
        <f t="shared" si="0"/>
        <v>#VALUE!</v>
      </c>
      <c r="E37" s="285"/>
      <c r="F37" s="287" t="str">
        <f t="shared" si="1"/>
        <v/>
      </c>
      <c r="G37" s="15"/>
      <c r="K37" s="13"/>
    </row>
    <row r="38" spans="1:12">
      <c r="A38" s="75">
        <v>1</v>
      </c>
      <c r="B38" s="417" t="s">
        <v>452</v>
      </c>
      <c r="C38" s="416">
        <v>0</v>
      </c>
      <c r="D38" s="282" t="e">
        <f t="shared" si="0"/>
        <v>#VALUE!</v>
      </c>
      <c r="E38" s="285"/>
      <c r="F38" s="287" t="str">
        <f t="shared" si="1"/>
        <v/>
      </c>
      <c r="G38" s="15"/>
      <c r="H38" s="157"/>
      <c r="I38" s="203" t="s">
        <v>339</v>
      </c>
      <c r="J38" s="288">
        <f>Ballast!D51</f>
        <v>8.9</v>
      </c>
      <c r="K38" s="222" t="s">
        <v>340</v>
      </c>
      <c r="L38" s="291" t="str">
        <f>IF(J38=0,"",IF(J38&lt;4,"Error: weight of pitch battery too low. Re-check",IF(J38&gt;12,"Error: weight of pitch battery too high.  Re-check.","")))</f>
        <v/>
      </c>
    </row>
    <row r="39" spans="1:12">
      <c r="A39" s="69">
        <v>1</v>
      </c>
      <c r="B39" s="29" t="str">
        <f>A62</f>
        <v>Center</v>
      </c>
      <c r="C39" s="69">
        <v>0</v>
      </c>
      <c r="D39" s="282" t="e">
        <f t="shared" si="0"/>
        <v>#VALUE!</v>
      </c>
      <c r="E39" s="285"/>
      <c r="F39" s="287" t="str">
        <f t="shared" si="1"/>
        <v/>
      </c>
      <c r="G39" s="15"/>
      <c r="H39" s="157"/>
      <c r="I39" s="203" t="s">
        <v>341</v>
      </c>
      <c r="J39" s="84">
        <v>0</v>
      </c>
      <c r="K39" s="222" t="s">
        <v>342</v>
      </c>
      <c r="L39" s="291" t="str">
        <f>IF(ABS(J39&lt;1.25),"","Error: starting pitch too high.  Re-check.")</f>
        <v/>
      </c>
    </row>
    <row r="40" spans="1:12">
      <c r="A40" s="75">
        <v>1</v>
      </c>
      <c r="B40" s="417" t="s">
        <v>453</v>
      </c>
      <c r="C40" s="416">
        <v>0</v>
      </c>
      <c r="D40" s="282" t="e">
        <f t="shared" si="0"/>
        <v>#VALUE!</v>
      </c>
      <c r="E40" s="285"/>
      <c r="F40" s="287" t="str">
        <f t="shared" si="1"/>
        <v/>
      </c>
      <c r="G40" s="15"/>
      <c r="H40" s="157"/>
      <c r="I40" s="203" t="s">
        <v>343</v>
      </c>
      <c r="J40" s="84">
        <v>0</v>
      </c>
      <c r="K40" s="222" t="s">
        <v>344</v>
      </c>
      <c r="L40" s="291" t="str">
        <f>IF(ABS(J40)&gt;1.1,"Error, battery position out of range","")</f>
        <v/>
      </c>
    </row>
    <row r="41" spans="1:12">
      <c r="A41" s="69">
        <v>1</v>
      </c>
      <c r="B41" s="29" t="str">
        <f t="shared" ref="B41:B43" si="2">A64</f>
        <v>Sci Aft Disc</v>
      </c>
      <c r="C41" s="69">
        <v>0</v>
      </c>
      <c r="D41" s="282" t="e">
        <f t="shared" si="0"/>
        <v>#VALUE!</v>
      </c>
      <c r="E41" s="285"/>
      <c r="F41" s="287" t="str">
        <f t="shared" si="1"/>
        <v/>
      </c>
      <c r="G41" s="223"/>
      <c r="H41" s="157"/>
      <c r="I41" s="203" t="s">
        <v>345</v>
      </c>
      <c r="J41" s="84">
        <v>0</v>
      </c>
      <c r="K41" s="222" t="s">
        <v>342</v>
      </c>
      <c r="L41" s="291" t="str">
        <f>IF(ABS(J41&lt;1.25),"","Error: starting pitch too high.  Re-check.")</f>
        <v/>
      </c>
    </row>
    <row r="42" spans="1:12">
      <c r="A42" s="69">
        <v>1</v>
      </c>
      <c r="B42" s="29" t="str">
        <f t="shared" si="2"/>
        <v>Sci Aft Bottles</v>
      </c>
      <c r="C42" s="69">
        <v>0</v>
      </c>
      <c r="D42" s="282" t="e">
        <f t="shared" si="0"/>
        <v>#VALUE!</v>
      </c>
      <c r="E42" s="285"/>
      <c r="F42" s="287" t="str">
        <f>IF(ABS(C42)&gt;5000,"Error: Weight adjustment too high","")</f>
        <v/>
      </c>
      <c r="G42" s="15"/>
      <c r="H42" s="157"/>
      <c r="I42" s="203" t="s">
        <v>346</v>
      </c>
      <c r="J42" s="84">
        <v>0</v>
      </c>
      <c r="K42" s="222" t="s">
        <v>344</v>
      </c>
      <c r="L42" s="291" t="str">
        <f>IF(ABS(J42)&gt;1.1,"Error, battery position out of range","")</f>
        <v/>
      </c>
    </row>
    <row r="43" spans="1:12" ht="13.5" thickBot="1">
      <c r="A43" s="70">
        <v>1</v>
      </c>
      <c r="B43" s="30" t="str">
        <f t="shared" si="2"/>
        <v>Aft</v>
      </c>
      <c r="C43" s="70">
        <v>0</v>
      </c>
      <c r="D43" s="283" t="e">
        <f t="shared" si="0"/>
        <v>#VALUE!</v>
      </c>
      <c r="E43" s="286"/>
      <c r="F43" s="287" t="str">
        <f>IF(ABS(C43)&gt;5000,"Error: Weight adjustment too high","")</f>
        <v/>
      </c>
      <c r="G43" s="223"/>
      <c r="H43" s="157"/>
      <c r="I43" s="203" t="s">
        <v>347</v>
      </c>
      <c r="J43" s="289" t="e">
        <f>ABS(1000*25.4*(J40-J42)*(J38+0.1)/(Ballast!C36*Ballast!C47*TAN(J39-J41)))</f>
        <v>#DIV/0!</v>
      </c>
      <c r="K43" s="224" t="s">
        <v>348</v>
      </c>
      <c r="L43"/>
    </row>
    <row r="44" spans="1:12" ht="13.5" thickBot="1">
      <c r="A44" s="18"/>
      <c r="B44" s="22"/>
      <c r="C44" s="276">
        <f>SUM(C34:C43)</f>
        <v>0</v>
      </c>
      <c r="D44" s="284" t="e">
        <f>SUM(D34:D43)</f>
        <v>#VALUE!</v>
      </c>
      <c r="F44" s="287" t="str">
        <f>IF(ABS(C44)&gt;5000,"Error: Weight adjustment too high","")</f>
        <v/>
      </c>
      <c r="G44" s="15"/>
      <c r="H44" s="225"/>
      <c r="I44" s="203" t="s">
        <v>350</v>
      </c>
      <c r="J44" s="85">
        <v>1</v>
      </c>
      <c r="K44" s="222" t="s">
        <v>344</v>
      </c>
      <c r="L44" s="291" t="str">
        <f>IF(J44=1,"","Error: range of pitch battery is usually +/- 1 inch")</f>
        <v/>
      </c>
    </row>
    <row r="45" spans="1:12" ht="13.5" thickBot="1">
      <c r="G45" s="18"/>
      <c r="H45" s="226"/>
      <c r="I45" s="212" t="s">
        <v>351</v>
      </c>
      <c r="J45" s="290" t="e">
        <f>DEGREES(ATAN((J44*25.4*J38/J20)/J43))</f>
        <v>#DIV/0!</v>
      </c>
      <c r="K45" s="227" t="s">
        <v>352</v>
      </c>
      <c r="L45"/>
    </row>
    <row r="46" spans="1:12" ht="27.75" customHeight="1">
      <c r="A46" s="218" t="s">
        <v>349</v>
      </c>
      <c r="B46" s="10"/>
      <c r="C46" s="10"/>
      <c r="D46" s="11"/>
    </row>
    <row r="47" spans="1:12">
      <c r="A47" s="15"/>
      <c r="B47" s="292">
        <f>ABS((C18+C19-C20)+C44)</f>
        <v>36.183914587503274</v>
      </c>
      <c r="C47" s="31" t="str">
        <f>IF(((C18+C19-C20)+C44)&gt;=0,"additional grams need to be removed", "additional grams need to be added")</f>
        <v>additional grams need to be added</v>
      </c>
      <c r="D47" s="13"/>
    </row>
    <row r="48" spans="1:12">
      <c r="A48" s="15"/>
      <c r="B48" s="293" t="e">
        <f>ABS((C28+D44)/(B86-B85))</f>
        <v>#VALUE!</v>
      </c>
      <c r="C48" s="293" t="e">
        <f>CONCATENATE("Grams need to move from ",IF((C28+D44)&lt;=0,INDEX(A57:A66,B82,1),INDEX(A57:A66,B83,1))," to ",IF((C28+D44)&lt;=0,INDEX(A57:A66,B83,1),INDEX(A57:A66,B82,1)))</f>
        <v>#VALUE!</v>
      </c>
      <c r="D48" s="13"/>
    </row>
    <row r="49" spans="1:9">
      <c r="A49" s="15"/>
      <c r="B49" s="293" t="e">
        <f>INDEX(C34:C43,IF(A34,1,IF(A35,2,IF(A36,3,IF(A37,4,IF(A39,5,IF(A41,6,IF(A42,7,"Error"))))))))+(C28+D44)/(INDEX(C57:C66,IF(A43,8,IF(A42,7,IF(A41,6,IF(A39,5,IF(A37,4,IF(A36,3,IF(A35,2,"error"))))))))-INDEX(C57:C66,IF(A34,1,IF(A35,2,IF(A36,3,IF(A37,4,IF(A39,5,IF(A41,6,IF(A42,7,"Error")))))))))</f>
        <v>#VALUE!</v>
      </c>
      <c r="C49" s="295" t="str">
        <f>CONCATENATE("Change ",INDEX(A57:A66,B82,1)," to this:")</f>
        <v>Change Forward Top to this:</v>
      </c>
      <c r="D49" s="13"/>
      <c r="E49" s="229" t="s">
        <v>353</v>
      </c>
    </row>
    <row r="50" spans="1:9" ht="13.5" thickBot="1">
      <c r="A50" s="18"/>
      <c r="B50" s="294" t="e">
        <f>INDEX(C34:C43,IF(A43,8,IF(A42,7,IF(A41,6,IF(A39,5,IF(A37,4,IF(A36,3,IF(A35,2,"error"))))))))-((C28+D44)/(INDEX(C57:C66,IF(A43,8,IF(A42,7,IF(A41,6,IF(A39,5,IF(A37,4,IF(A36,3,IF(A35,2,"error"))))))))-INDEX(C57:C66,IF(A34,1,IF(A35,2,IF(A36,3,IF(A37,4,IF(A39,5,IF(A41,6,IF(A42,7,"Error"))))))))))</f>
        <v>#VALUE!</v>
      </c>
      <c r="C50" s="296" t="str">
        <f>CONCATENATE("Change ",INDEX(A57:A66,B83,1)," to this:")</f>
        <v>Change Aft to this:</v>
      </c>
      <c r="D50" s="21"/>
      <c r="E50" s="229" t="s">
        <v>354</v>
      </c>
    </row>
    <row r="51" spans="1:9" ht="13.5" thickBot="1"/>
    <row r="52" spans="1:9">
      <c r="A52" s="218" t="s">
        <v>355</v>
      </c>
      <c r="B52" s="10"/>
      <c r="C52" s="10"/>
      <c r="D52" s="11"/>
    </row>
    <row r="53" spans="1:9">
      <c r="A53" s="15"/>
      <c r="B53" s="230" t="s">
        <v>356</v>
      </c>
      <c r="C53" s="47" t="str">
        <f>IF(Ballast!C17="G1 Shallow (200m)",22.7,IF(Ballast!C17="G1 Deep (1000m)",23,"Wrong Glider Selected"))</f>
        <v>Wrong Glider Selected</v>
      </c>
      <c r="D53" s="20"/>
    </row>
    <row r="54" spans="1:9" ht="13.5" thickBot="1">
      <c r="A54" s="15"/>
      <c r="D54" s="13"/>
    </row>
    <row r="55" spans="1:9">
      <c r="A55" s="219" t="s">
        <v>357</v>
      </c>
      <c r="B55" s="219" t="s">
        <v>358</v>
      </c>
      <c r="C55" s="219" t="s">
        <v>359</v>
      </c>
      <c r="D55" s="13"/>
    </row>
    <row r="56" spans="1:9" ht="13.5" thickBot="1">
      <c r="A56" s="30"/>
      <c r="B56" s="30" t="s">
        <v>314</v>
      </c>
      <c r="C56" s="30" t="s">
        <v>314</v>
      </c>
      <c r="D56" s="13"/>
      <c r="E56" s="229" t="s">
        <v>360</v>
      </c>
    </row>
    <row r="57" spans="1:9" ht="13.5" customHeight="1">
      <c r="A57" s="231" t="s">
        <v>361</v>
      </c>
      <c r="B57" s="49" t="str">
        <f>IF(Ballast!C17="G1 Shallow (200m)",2,IF(Ballast!C17="G1 Deep (1000m)",2,""))</f>
        <v/>
      </c>
      <c r="C57" s="52" t="e">
        <f t="shared" ref="C57:C66" si="3">B57-C$53</f>
        <v>#VALUE!</v>
      </c>
      <c r="D57" s="13"/>
      <c r="E57" s="229" t="s">
        <v>362</v>
      </c>
    </row>
    <row r="58" spans="1:9" ht="13.5" customHeight="1">
      <c r="A58" s="136" t="str">
        <f>IF(Ballast!C17="G1 Shallow (200m)","Forward Bottom",IF(Ballast!C17="G1 Deep (1000m)","Unused",""))</f>
        <v/>
      </c>
      <c r="B58" s="50" t="str">
        <f>IF(Ballast!C17="G1 Shallow (200m)",3.5,IF(Ballast!C17="G1 Deep (1000m)",99999,""))</f>
        <v/>
      </c>
      <c r="C58" s="53" t="e">
        <f t="shared" si="3"/>
        <v>#VALUE!</v>
      </c>
      <c r="D58" s="13"/>
      <c r="E58" s="229" t="s">
        <v>363</v>
      </c>
    </row>
    <row r="59" spans="1:9" ht="13.5" customHeight="1">
      <c r="A59" s="136" t="s">
        <v>364</v>
      </c>
      <c r="B59" s="50" t="str">
        <f>IF(Ballast!C17="G1 Shallow (200m)",20.125,IF(Ballast!C17="G1 Deep (1000m)",20.375,""))</f>
        <v/>
      </c>
      <c r="C59" s="53" t="e">
        <f t="shared" si="3"/>
        <v>#VALUE!</v>
      </c>
      <c r="D59" s="13"/>
      <c r="E59" s="229" t="s">
        <v>365</v>
      </c>
      <c r="G59" s="31"/>
    </row>
    <row r="60" spans="1:9" ht="13.5" customHeight="1">
      <c r="A60" s="136" t="s">
        <v>366</v>
      </c>
      <c r="B60" s="50" t="str">
        <f>IF(Ballast!C17="G1 Shallow (200m)",22,IF(Ballast!C17="G1 Deep (1000m)",22.125,""))</f>
        <v/>
      </c>
      <c r="C60" s="53" t="e">
        <f t="shared" si="3"/>
        <v>#VALUE!</v>
      </c>
      <c r="D60" s="13"/>
      <c r="E60" s="229" t="s">
        <v>367</v>
      </c>
      <c r="G60" s="31"/>
      <c r="I60" s="17"/>
    </row>
    <row r="61" spans="1:9" ht="13.5" customHeight="1">
      <c r="A61" s="136" t="str">
        <f>B38</f>
        <v>Custom Location 1</v>
      </c>
      <c r="B61" s="422"/>
      <c r="C61" s="53" t="e">
        <f t="shared" si="3"/>
        <v>#VALUE!</v>
      </c>
      <c r="D61" s="13"/>
      <c r="E61" s="229" t="s">
        <v>369</v>
      </c>
      <c r="F61" s="232"/>
    </row>
    <row r="62" spans="1:9" ht="13.5" customHeight="1">
      <c r="A62" s="136" t="s">
        <v>368</v>
      </c>
      <c r="B62" s="50" t="str">
        <f>$C$53</f>
        <v>Wrong Glider Selected</v>
      </c>
      <c r="C62" s="53" t="e">
        <f t="shared" si="3"/>
        <v>#VALUE!</v>
      </c>
      <c r="D62" s="13"/>
    </row>
    <row r="63" spans="1:9" ht="13.5" customHeight="1">
      <c r="A63" s="136" t="str">
        <f>B40</f>
        <v>Custom Location 2</v>
      </c>
      <c r="B63" s="422"/>
      <c r="C63" s="53" t="e">
        <f t="shared" si="3"/>
        <v>#VALUE!</v>
      </c>
      <c r="D63" s="13"/>
      <c r="E63" s="229"/>
    </row>
    <row r="64" spans="1:9" ht="13.15" customHeight="1">
      <c r="A64" s="136" t="s">
        <v>370</v>
      </c>
      <c r="B64" s="50" t="str">
        <f>IF(Ballast!C17="G1 Shallow (200m)",26,IF(Ballast!C17="G1 Deep (1000m)",26.5,""))</f>
        <v/>
      </c>
      <c r="C64" s="53" t="e">
        <f t="shared" si="3"/>
        <v>#VALUE!</v>
      </c>
      <c r="D64" s="13"/>
    </row>
    <row r="65" spans="1:11" s="234" customFormat="1" ht="13.9" customHeight="1">
      <c r="A65" s="136" t="s">
        <v>371</v>
      </c>
      <c r="B65" s="50" t="str">
        <f>IF(Ballast!C17="G1 Shallow (200m)",27+15/16,IF(Ballast!C17="G1 Deep (1000m)",28.375,""))</f>
        <v/>
      </c>
      <c r="C65" s="53" t="e">
        <f t="shared" si="3"/>
        <v>#VALUE!</v>
      </c>
      <c r="D65" s="13"/>
      <c r="E65" s="1"/>
      <c r="F65" s="194"/>
      <c r="G65" s="1"/>
      <c r="H65" s="1"/>
      <c r="I65" s="1"/>
      <c r="J65" s="1"/>
      <c r="K65" s="1"/>
    </row>
    <row r="66" spans="1:11" s="234" customFormat="1" ht="12.6" customHeight="1" thickBot="1">
      <c r="A66" s="233" t="s">
        <v>284</v>
      </c>
      <c r="B66" s="51" t="str">
        <f>IF(Ballast!C17="G1 Shallow (200m)",46.875,IF(Ballast!C17="G1 Deep (1000m)",47.5,""))</f>
        <v/>
      </c>
      <c r="C66" s="54" t="e">
        <f t="shared" si="3"/>
        <v>#VALUE!</v>
      </c>
      <c r="D66" s="21"/>
      <c r="E66" s="1"/>
      <c r="F66" s="194"/>
      <c r="G66" s="236"/>
    </row>
    <row r="67" spans="1:11" s="234" customFormat="1" ht="13.9" customHeight="1">
      <c r="A67" s="1"/>
      <c r="B67" s="17"/>
      <c r="C67" s="228"/>
      <c r="D67" s="160"/>
      <c r="E67" s="1"/>
      <c r="F67" s="194"/>
      <c r="G67" s="236"/>
    </row>
    <row r="68" spans="1:11" s="234" customFormat="1" ht="14.45" customHeight="1">
      <c r="A68" s="124" t="s">
        <v>372</v>
      </c>
      <c r="B68" s="125"/>
      <c r="C68" s="125"/>
      <c r="D68" s="125"/>
      <c r="E68" s="1"/>
      <c r="F68" s="235"/>
      <c r="G68" s="236"/>
    </row>
    <row r="69" spans="1:11" s="234" customFormat="1" ht="42.75" customHeight="1">
      <c r="A69" s="521" t="s">
        <v>373</v>
      </c>
      <c r="B69" s="525"/>
      <c r="C69" s="525"/>
      <c r="D69" s="525"/>
      <c r="F69" s="235"/>
      <c r="G69" s="236"/>
    </row>
    <row r="70" spans="1:11" s="237" customFormat="1" ht="58.15" customHeight="1">
      <c r="A70" s="521" t="s">
        <v>374</v>
      </c>
      <c r="B70" s="521"/>
      <c r="C70" s="521"/>
      <c r="D70" s="521"/>
      <c r="E70" s="234"/>
      <c r="F70" s="235"/>
      <c r="G70" s="236"/>
      <c r="H70" s="234"/>
      <c r="I70" s="234"/>
      <c r="J70" s="234"/>
      <c r="K70" s="234"/>
    </row>
    <row r="71" spans="1:11" s="234" customFormat="1" ht="44.45" customHeight="1">
      <c r="A71" s="521" t="s">
        <v>375</v>
      </c>
      <c r="B71" s="521"/>
      <c r="C71" s="521"/>
      <c r="D71" s="521"/>
      <c r="F71" s="235"/>
      <c r="G71" s="237"/>
      <c r="H71" s="237"/>
      <c r="I71" s="237"/>
      <c r="J71" s="237"/>
      <c r="K71" s="237"/>
    </row>
    <row r="72" spans="1:11" s="234" customFormat="1" ht="70.150000000000006" customHeight="1">
      <c r="A72" s="521" t="s">
        <v>376</v>
      </c>
      <c r="B72" s="521"/>
      <c r="C72" s="521"/>
      <c r="D72" s="521"/>
      <c r="F72" s="235"/>
      <c r="G72" s="238"/>
      <c r="H72" s="238"/>
      <c r="I72" s="238"/>
      <c r="J72" s="238"/>
      <c r="K72" s="238"/>
    </row>
    <row r="73" spans="1:11" s="234" customFormat="1" ht="44.45" customHeight="1">
      <c r="A73" s="521" t="s">
        <v>377</v>
      </c>
      <c r="B73" s="521"/>
      <c r="C73" s="521"/>
      <c r="D73" s="521"/>
      <c r="F73" s="239"/>
      <c r="G73" s="238"/>
      <c r="H73" s="238"/>
      <c r="I73" s="238"/>
      <c r="J73" s="238"/>
      <c r="K73" s="238"/>
    </row>
    <row r="74" spans="1:11" ht="45" customHeight="1">
      <c r="A74" s="443" t="s">
        <v>378</v>
      </c>
      <c r="B74" s="444"/>
      <c r="C74" s="444"/>
      <c r="D74" s="444"/>
      <c r="E74" s="237"/>
      <c r="F74" s="240"/>
      <c r="G74" s="238"/>
      <c r="H74" s="238"/>
      <c r="I74" s="238"/>
      <c r="J74" s="238"/>
      <c r="K74" s="242"/>
    </row>
    <row r="75" spans="1:11" ht="63" customHeight="1">
      <c r="A75" s="521" t="s">
        <v>379</v>
      </c>
      <c r="B75" s="521"/>
      <c r="C75" s="521"/>
      <c r="D75" s="521"/>
      <c r="E75" s="238"/>
      <c r="F75" s="240"/>
    </row>
    <row r="76" spans="1:11" s="243" customFormat="1" ht="63" customHeight="1">
      <c r="A76" s="443" t="s">
        <v>380</v>
      </c>
      <c r="B76" s="444"/>
      <c r="C76" s="444"/>
      <c r="D76" s="444"/>
      <c r="E76" s="238"/>
      <c r="F76" s="240"/>
      <c r="G76" s="1"/>
    </row>
    <row r="77" spans="1:11" s="243" customFormat="1" ht="63" customHeight="1">
      <c r="A77" s="443" t="s">
        <v>381</v>
      </c>
      <c r="B77" s="443"/>
      <c r="C77" s="443"/>
      <c r="D77" s="443"/>
      <c r="E77" s="238"/>
      <c r="F77" s="194"/>
    </row>
    <row r="78" spans="1:11" s="243" customFormat="1" ht="14.45" customHeight="1">
      <c r="A78" s="89"/>
      <c r="B78" s="125"/>
      <c r="C78" s="125"/>
      <c r="D78" s="241"/>
      <c r="E78" s="1"/>
      <c r="F78" s="194"/>
    </row>
    <row r="79" spans="1:11" s="243" customFormat="1" ht="15" customHeight="1">
      <c r="A79" s="125" t="s">
        <v>382</v>
      </c>
      <c r="B79" s="125"/>
      <c r="C79" s="125"/>
      <c r="D79" s="241"/>
      <c r="E79" s="1"/>
      <c r="F79" s="248"/>
    </row>
    <row r="80" spans="1:11" s="243" customFormat="1" ht="12" customHeight="1">
      <c r="E80" s="244"/>
      <c r="F80" s="248"/>
    </row>
    <row r="81" spans="1:7" s="243" customFormat="1" ht="10.15" hidden="1" customHeight="1">
      <c r="A81" s="245" t="s">
        <v>383</v>
      </c>
      <c r="B81" s="246"/>
      <c r="C81" s="246"/>
      <c r="D81" s="247"/>
      <c r="F81" s="248"/>
    </row>
    <row r="82" spans="1:7" ht="11.45" hidden="1" customHeight="1">
      <c r="A82" s="249"/>
      <c r="B82" s="250">
        <f>IF(A34,1,IF(A35,2,IF(A36,3,IF(A37,4,IF(A39,6,IF(A41,8,IF(A42,9,"Error")))))))</f>
        <v>1</v>
      </c>
      <c r="C82" s="250" t="s">
        <v>384</v>
      </c>
      <c r="D82" s="251"/>
      <c r="E82" s="243"/>
      <c r="F82" s="248"/>
      <c r="G82" s="243"/>
    </row>
    <row r="83" spans="1:7" ht="12.6" hidden="1" customHeight="1">
      <c r="A83" s="249"/>
      <c r="B83" s="250">
        <f>IF(A43,10,IF(A42,9,IF(A41,8,IF(A39,6,IF(A37,4,IF(A36,3,IF(A35,2,"error")))))))</f>
        <v>10</v>
      </c>
      <c r="C83" s="250" t="s">
        <v>385</v>
      </c>
      <c r="D83" s="251"/>
      <c r="E83" s="243"/>
      <c r="F83" s="248"/>
    </row>
    <row r="84" spans="1:7" ht="9.6" hidden="1" customHeight="1">
      <c r="A84" s="252"/>
      <c r="B84" s="250"/>
      <c r="C84" s="250"/>
      <c r="D84" s="253"/>
      <c r="E84" s="243"/>
      <c r="F84" s="248"/>
    </row>
    <row r="85" spans="1:7" hidden="1">
      <c r="A85" s="249"/>
      <c r="B85" s="250" t="e">
        <f>INDEX(C57:C66,IF(A34,1,IF(A35,2,IF(A36,3,IF(A37,4,IF(A39,6,IF(A41,8,IF(A42,9,"Error"))))))))</f>
        <v>#VALUE!</v>
      </c>
      <c r="C85" s="250" t="s">
        <v>386</v>
      </c>
      <c r="D85" s="254"/>
      <c r="E85" s="243"/>
    </row>
    <row r="86" spans="1:7" ht="13.5" hidden="1" thickBot="1">
      <c r="A86" s="255"/>
      <c r="B86" s="256" t="e">
        <f>INDEX(C57:C66,IF(A43,10,IF(A42,9,IF(A41,8,IF(A39,6,IF(A37,4,IF(A36,3,IF(A35,2,"error"))))))))</f>
        <v>#VALUE!</v>
      </c>
      <c r="C86" s="256" t="s">
        <v>387</v>
      </c>
      <c r="D86" s="257"/>
    </row>
    <row r="87" spans="1:7">
      <c r="A87" s="234"/>
      <c r="B87" s="234"/>
      <c r="C87" s="234"/>
      <c r="D87" s="234"/>
    </row>
    <row r="93" spans="1:7">
      <c r="E93" s="31"/>
    </row>
    <row r="94" spans="1:7">
      <c r="D94" s="17"/>
      <c r="E94" s="17"/>
    </row>
    <row r="95" spans="1:7">
      <c r="C95" s="258"/>
      <c r="D95" s="17"/>
    </row>
    <row r="96" spans="1:7">
      <c r="C96" s="258"/>
      <c r="D96" s="17"/>
    </row>
    <row r="97" spans="3:5">
      <c r="D97" s="17"/>
      <c r="E97" s="31"/>
    </row>
    <row r="98" spans="3:5">
      <c r="D98" s="17"/>
    </row>
    <row r="99" spans="3:5">
      <c r="D99" s="17"/>
      <c r="E99" s="17"/>
    </row>
    <row r="100" spans="3:5">
      <c r="C100" s="258"/>
      <c r="D100" s="17"/>
    </row>
    <row r="101" spans="3:5">
      <c r="C101" s="258"/>
      <c r="D101" s="17"/>
    </row>
  </sheetData>
  <sheetProtection algorithmName="SHA-512" hashValue="dulZLVLhg/4KPg02EoNX/6D+Ye0BnLBw5b10olluqwEwyhhw/5s4CwrM9XkvNXax50Or1IiqNzQV4gAq5kh15A==" saltValue="dQztWiW0i/n6tVdzsZ/grA==" spinCount="100000" sheet="1" objects="1" scenarios="1"/>
  <mergeCells count="20">
    <mergeCell ref="L22:N23"/>
    <mergeCell ref="L27:N30"/>
    <mergeCell ref="A9:D14"/>
    <mergeCell ref="E9:K12"/>
    <mergeCell ref="E13:K14"/>
    <mergeCell ref="A4:C4"/>
    <mergeCell ref="A15:D15"/>
    <mergeCell ref="A69:D69"/>
    <mergeCell ref="A70:D70"/>
    <mergeCell ref="A71:D71"/>
    <mergeCell ref="C6:C7"/>
    <mergeCell ref="A77:D77"/>
    <mergeCell ref="G36:K36"/>
    <mergeCell ref="G33:K34"/>
    <mergeCell ref="G35:K35"/>
    <mergeCell ref="A75:D75"/>
    <mergeCell ref="A76:D76"/>
    <mergeCell ref="A73:D73"/>
    <mergeCell ref="A74:D74"/>
    <mergeCell ref="A72:D72"/>
  </mergeCells>
  <conditionalFormatting sqref="B57:B66">
    <cfRule type="cellIs" dxfId="59" priority="16" operator="greaterThan">
      <formula>9999</formula>
    </cfRule>
    <cfRule type="cellIs" dxfId="58" priority="17" operator="greaterThan">
      <formula>9999</formula>
    </cfRule>
  </conditionalFormatting>
  <conditionalFormatting sqref="J27">
    <cfRule type="expression" dxfId="57" priority="3">
      <formula>IF(($J$27&lt;100),1,0)</formula>
    </cfRule>
    <cfRule type="expression" dxfId="56" priority="15">
      <formula>IF(($J$27&lt;200),1,0)</formula>
    </cfRule>
  </conditionalFormatting>
  <conditionalFormatting sqref="J28">
    <cfRule type="expression" dxfId="55" priority="14">
      <formula>IF(($J$28&gt;-120),1,0)</formula>
    </cfRule>
  </conditionalFormatting>
  <conditionalFormatting sqref="J29">
    <cfRule type="expression" dxfId="54" priority="13">
      <formula>IF(($J$29&lt;120),1,0)</formula>
    </cfRule>
  </conditionalFormatting>
  <conditionalFormatting sqref="J30">
    <cfRule type="expression" dxfId="53" priority="2">
      <formula>IF(($J$30&gt;-50),1,0)</formula>
    </cfRule>
    <cfRule type="expression" dxfId="52" priority="12">
      <formula>IF(($J$30&gt;-150),1,0)</formula>
    </cfRule>
  </conditionalFormatting>
  <conditionalFormatting sqref="J43">
    <cfRule type="expression" dxfId="51" priority="10">
      <formula>IF(AND(($J$43&gt;=4),($J$43&lt;=6.5)),1,0)</formula>
    </cfRule>
  </conditionalFormatting>
  <conditionalFormatting sqref="E13 E9">
    <cfRule type="expression" dxfId="50" priority="9">
      <formula>IF(($C$44+$D$44=0),0,1)</formula>
    </cfRule>
  </conditionalFormatting>
  <conditionalFormatting sqref="J23">
    <cfRule type="expression" dxfId="49" priority="4">
      <formula>IF((-80&gt;$J$23),1,0)</formula>
    </cfRule>
    <cfRule type="expression" dxfId="48" priority="7">
      <formula>IF(($J$23&gt;150),1,0)</formula>
    </cfRule>
    <cfRule type="expression" dxfId="47" priority="8">
      <formula>IF(($J$23&gt;80),1,0)</formula>
    </cfRule>
  </conditionalFormatting>
  <conditionalFormatting sqref="J22">
    <cfRule type="expression" dxfId="46" priority="5">
      <formula>IF((-150&gt;$J$22),1,0)</formula>
    </cfRule>
    <cfRule type="expression" dxfId="45" priority="6">
      <formula>IF((-10&gt;$J$22),1,0)</formula>
    </cfRule>
  </conditionalFormatting>
  <pageMargins left="0.75" right="0.75" top="1" bottom="1" header="0.5" footer="0.5"/>
  <pageSetup scale="78" orientation="portrait"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21FCE5F2-CE9F-419E-AAA5-C5B7B31A6961}">
            <xm:f>IF(Ballast!$E$40="Target Tank",1,0)</xm:f>
            <x14:dxf>
              <font>
                <color theme="0"/>
              </font>
              <fill>
                <patternFill patternType="none">
                  <bgColor auto="1"/>
                </patternFill>
              </fill>
            </x14:dxf>
          </x14:cfRule>
          <xm:sqref>G21:K21 G23:K23 G29:K30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A1:N82"/>
  <sheetViews>
    <sheetView topLeftCell="A14" workbookViewId="0">
      <selection activeCell="M42" sqref="M42"/>
    </sheetView>
  </sheetViews>
  <sheetFormatPr defaultColWidth="9.28515625" defaultRowHeight="12.75"/>
  <cols>
    <col min="1" max="1" width="31.28515625" style="1" customWidth="1"/>
    <col min="2" max="2" width="28.42578125" style="1" customWidth="1"/>
    <col min="3" max="3" width="23.28515625" style="1" customWidth="1"/>
    <col min="4" max="4" width="14.28515625" style="1" customWidth="1"/>
    <col min="5" max="5" width="19.7109375" style="1" customWidth="1"/>
    <col min="6" max="6" width="9.28515625" style="1" customWidth="1"/>
    <col min="7" max="7" width="9.28515625" style="1"/>
    <col min="8" max="8" width="9.28515625" style="1" customWidth="1"/>
    <col min="9" max="16384" width="9.28515625" style="1"/>
  </cols>
  <sheetData>
    <row r="1" spans="1:11" ht="20.25" customHeight="1">
      <c r="D1" s="165" t="s">
        <v>0</v>
      </c>
      <c r="E1" s="320" t="str">
        <f>Ballast!$H$1</f>
        <v>4095-GBPSH</v>
      </c>
    </row>
    <row r="2" spans="1:11" ht="20.25" customHeight="1">
      <c r="D2" s="166" t="s">
        <v>2</v>
      </c>
      <c r="E2" s="321" t="str">
        <f>Ballast!$H$2</f>
        <v>NOC 2.7</v>
      </c>
    </row>
    <row r="3" spans="1:11" ht="20.25" customHeight="1">
      <c r="D3" s="166" t="s">
        <v>3</v>
      </c>
      <c r="E3" s="322">
        <f>Ballast!$H$3</f>
        <v>45618</v>
      </c>
    </row>
    <row r="4" spans="1:11" ht="20.25" customHeight="1" thickBot="1">
      <c r="A4" s="522" t="str">
        <f>IF(Ballast!C17&lt;&gt;"","","Please Select Glider Type in Ballast Sheet")</f>
        <v/>
      </c>
      <c r="B4" s="522"/>
      <c r="C4" s="523"/>
      <c r="D4" s="167" t="s">
        <v>4</v>
      </c>
      <c r="E4" s="323">
        <f>Ballast!$H$4</f>
        <v>12698</v>
      </c>
    </row>
    <row r="5" spans="1:11" ht="15" customHeight="1" thickBot="1"/>
    <row r="6" spans="1:11" ht="6.75" customHeight="1" thickTop="1" thickBot="1">
      <c r="A6" s="9"/>
      <c r="B6" s="9"/>
      <c r="C6" s="9"/>
      <c r="D6" s="9"/>
      <c r="E6" s="9"/>
    </row>
    <row r="7" spans="1:11">
      <c r="A7" s="190" t="s">
        <v>298</v>
      </c>
      <c r="B7" s="191" t="str">
        <f>IF(ISBLANK(Ballast!C14),"",Ballast!C14)</f>
        <v>unit_1104</v>
      </c>
      <c r="C7" s="527" t="str">
        <f>IF(Ballast!C17=Constants!A4,"",IF(Ballast!C17=Constants!A5,"","Wrong Generation Glider Selected"))</f>
        <v>Wrong Generation Glider Selected</v>
      </c>
      <c r="F7" s="194"/>
    </row>
    <row r="8" spans="1:11" ht="14.25" customHeight="1" thickBot="1">
      <c r="A8" s="192" t="s">
        <v>3</v>
      </c>
      <c r="B8" s="193" t="str">
        <f>IF(ISBLANK(Ballast!C16),"",Ballast!C16)</f>
        <v>Office</v>
      </c>
      <c r="C8" s="527"/>
      <c r="F8" s="194"/>
      <c r="G8" s="259"/>
      <c r="H8" s="259"/>
      <c r="I8" s="259"/>
    </row>
    <row r="9" spans="1:11" ht="18" customHeight="1">
      <c r="A9" s="260"/>
      <c r="B9" s="260"/>
      <c r="C9" s="260"/>
      <c r="D9" s="260"/>
      <c r="F9" s="194"/>
      <c r="H9" s="259"/>
    </row>
    <row r="10" spans="1:11" ht="21.6" customHeight="1">
      <c r="A10" s="533"/>
      <c r="B10" s="533"/>
      <c r="C10" s="533"/>
      <c r="D10" s="533"/>
      <c r="E10" s="531" t="s">
        <v>8</v>
      </c>
      <c r="F10" s="531"/>
      <c r="G10" s="531"/>
      <c r="H10" s="531"/>
      <c r="I10" s="531"/>
      <c r="J10" s="531"/>
      <c r="K10" s="531"/>
    </row>
    <row r="11" spans="1:11" ht="21" customHeight="1">
      <c r="A11" s="533"/>
      <c r="B11" s="533"/>
      <c r="C11" s="533"/>
      <c r="D11" s="533"/>
      <c r="E11" s="531"/>
      <c r="F11" s="531"/>
      <c r="G11" s="531"/>
      <c r="H11" s="531"/>
      <c r="I11" s="531"/>
      <c r="J11" s="531"/>
      <c r="K11" s="531"/>
    </row>
    <row r="12" spans="1:11" ht="24" customHeight="1">
      <c r="A12" s="533"/>
      <c r="B12" s="533"/>
      <c r="C12" s="533"/>
      <c r="D12" s="533"/>
      <c r="E12" s="531"/>
      <c r="F12" s="531"/>
      <c r="G12" s="531"/>
      <c r="H12" s="531"/>
      <c r="I12" s="531"/>
      <c r="J12" s="531"/>
      <c r="K12" s="531"/>
    </row>
    <row r="13" spans="1:11" ht="30.6" customHeight="1">
      <c r="A13" s="533"/>
      <c r="B13" s="533"/>
      <c r="C13" s="533"/>
      <c r="D13" s="533"/>
      <c r="E13" s="532" t="s">
        <v>17</v>
      </c>
      <c r="F13" s="532"/>
      <c r="G13" s="532"/>
      <c r="H13" s="532"/>
      <c r="I13" s="532"/>
      <c r="J13" s="532"/>
      <c r="K13" s="532"/>
    </row>
    <row r="14" spans="1:11" ht="15" customHeight="1">
      <c r="A14" s="260"/>
      <c r="B14" s="260"/>
      <c r="C14" s="260"/>
      <c r="D14" s="260"/>
      <c r="F14" s="194"/>
    </row>
    <row r="15" spans="1:11">
      <c r="A15" s="524" t="s">
        <v>299</v>
      </c>
      <c r="B15" s="524"/>
      <c r="C15" s="524"/>
      <c r="D15" s="524"/>
      <c r="F15" s="194"/>
    </row>
    <row r="16" spans="1:11" ht="13.5" thickBot="1">
      <c r="A16" s="195"/>
      <c r="F16" s="194"/>
      <c r="J16" s="259"/>
      <c r="K16" s="259"/>
    </row>
    <row r="17" spans="1:14">
      <c r="A17" s="196" t="s">
        <v>300</v>
      </c>
      <c r="B17" s="10"/>
      <c r="C17" s="10"/>
      <c r="D17" s="11"/>
      <c r="E17"/>
      <c r="G17" s="197" t="s">
        <v>301</v>
      </c>
      <c r="H17" s="198"/>
      <c r="I17" s="199"/>
      <c r="J17" s="198"/>
      <c r="K17" s="200"/>
    </row>
    <row r="18" spans="1:14">
      <c r="A18" s="12"/>
      <c r="B18" s="201" t="s">
        <v>302</v>
      </c>
      <c r="C18" s="67">
        <v>0</v>
      </c>
      <c r="D18" s="13" t="s">
        <v>63</v>
      </c>
      <c r="E18" s="277" t="str">
        <f>IF(C18&gt;5000,"Error: scale reading too high",IF(C18&lt;0,"Error: scale reading should be positive",""))</f>
        <v/>
      </c>
      <c r="F18" s="14"/>
      <c r="G18" s="202"/>
      <c r="I18" s="203" t="s">
        <v>303</v>
      </c>
      <c r="J18" s="278">
        <f>Ballast!J32*1000</f>
        <v>50000</v>
      </c>
      <c r="K18" s="205" t="s">
        <v>63</v>
      </c>
    </row>
    <row r="19" spans="1:14">
      <c r="A19" s="15"/>
      <c r="B19" s="206" t="s">
        <v>304</v>
      </c>
      <c r="C19" s="67">
        <v>0</v>
      </c>
      <c r="D19" s="13" t="s">
        <v>63</v>
      </c>
      <c r="E19" s="277" t="str">
        <f>IF(C19&gt;5000,"Error: scale reading too high",IF(C19&lt;0,"Error: scale reading should be positive",""))</f>
        <v/>
      </c>
      <c r="G19" s="202"/>
      <c r="I19" s="203" t="s">
        <v>305</v>
      </c>
      <c r="J19" s="273">
        <f>C18+C19</f>
        <v>0</v>
      </c>
      <c r="K19" s="205" t="s">
        <v>63</v>
      </c>
    </row>
    <row r="20" spans="1:14">
      <c r="A20" s="15"/>
      <c r="B20" s="206" t="s">
        <v>306</v>
      </c>
      <c r="C20" s="273">
        <f>Ballast!G48</f>
        <v>36.183914587503274</v>
      </c>
      <c r="D20" s="13" t="s">
        <v>63</v>
      </c>
      <c r="E20"/>
      <c r="G20" s="202"/>
      <c r="I20" s="203" t="s">
        <v>307</v>
      </c>
      <c r="J20" s="278">
        <f>Ballast!C36</f>
        <v>48.822447795905191</v>
      </c>
      <c r="K20" s="205" t="s">
        <v>44</v>
      </c>
    </row>
    <row r="21" spans="1:14">
      <c r="A21" s="16"/>
      <c r="B21" s="207" t="str">
        <f>IF((C18+C19-C20)&gt;0,"Total weight to remove:","Total weight to add:")</f>
        <v>Total weight to add:</v>
      </c>
      <c r="C21" s="274">
        <f>ABS(C18+C19-C20)</f>
        <v>36.183914587503274</v>
      </c>
      <c r="D21" s="208" t="s">
        <v>63</v>
      </c>
      <c r="E21"/>
      <c r="G21" s="202"/>
      <c r="I21" s="203" t="s">
        <v>308</v>
      </c>
      <c r="J21" s="278">
        <f>Ballast!M50</f>
        <v>48.492447795905193</v>
      </c>
      <c r="K21" s="205" t="s">
        <v>44</v>
      </c>
    </row>
    <row r="22" spans="1:14">
      <c r="A22" s="15"/>
      <c r="C22" s="17"/>
      <c r="D22" s="13"/>
      <c r="E22"/>
      <c r="G22" s="202"/>
      <c r="I22" s="203" t="s">
        <v>309</v>
      </c>
      <c r="J22" s="279">
        <f>Ballast!G41+((Ballast!E47/1000)*(J20*1000))-J18</f>
        <v>36.183914587491017</v>
      </c>
      <c r="K22" s="205" t="s">
        <v>63</v>
      </c>
      <c r="L22" s="528" t="s">
        <v>310</v>
      </c>
      <c r="M22" s="529"/>
      <c r="N22" s="529"/>
    </row>
    <row r="23" spans="1:14" ht="13.5" thickBot="1">
      <c r="A23" s="15"/>
      <c r="B23" s="209" t="s">
        <v>311</v>
      </c>
      <c r="C23" s="210" t="s">
        <v>312</v>
      </c>
      <c r="D23" s="13"/>
      <c r="E23"/>
      <c r="F23" s="194"/>
      <c r="G23" s="211"/>
      <c r="H23" s="22"/>
      <c r="I23" s="212" t="s">
        <v>313</v>
      </c>
      <c r="J23" s="280">
        <f>Ballast!M41+((Ballast!K47/1000)*(J21*1000))-J18</f>
        <v>-1333.562776704006</v>
      </c>
      <c r="K23" s="213" t="s">
        <v>63</v>
      </c>
      <c r="L23" s="528"/>
      <c r="M23" s="529"/>
      <c r="N23" s="529"/>
    </row>
    <row r="24" spans="1:14" ht="13.5" thickBot="1">
      <c r="A24" s="15"/>
      <c r="B24" s="261" t="s">
        <v>388</v>
      </c>
      <c r="C24" s="214" t="s">
        <v>314</v>
      </c>
      <c r="D24" s="13"/>
      <c r="E24"/>
      <c r="F24" s="194"/>
    </row>
    <row r="25" spans="1:14">
      <c r="A25" s="204" t="s">
        <v>389</v>
      </c>
      <c r="B25" s="77">
        <v>30</v>
      </c>
      <c r="C25" s="275" t="e">
        <f>(B25/25.4)-$C$54</f>
        <v>#VALUE!</v>
      </c>
      <c r="D25" s="13"/>
      <c r="E25" t="str">
        <f>IF(B25&lt;-250,"Error: Check scale position",IF(B25&gt;750, "Error, check scale position",""))</f>
        <v/>
      </c>
      <c r="F25" s="194"/>
      <c r="G25" s="197" t="s">
        <v>316</v>
      </c>
      <c r="H25" s="215"/>
      <c r="I25" s="198"/>
      <c r="J25" s="198"/>
      <c r="K25" s="200"/>
    </row>
    <row r="26" spans="1:14">
      <c r="A26" s="204" t="s">
        <v>390</v>
      </c>
      <c r="B26" s="77">
        <v>1230</v>
      </c>
      <c r="C26" s="275" t="e">
        <f>(B26/25.4)-$C$54</f>
        <v>#VALUE!</v>
      </c>
      <c r="D26" s="13"/>
      <c r="E26" t="str">
        <f>IF(B26&lt;500,"Error: Check scale position",IF(B26&gt;1770, "Error, check scale position",""))</f>
        <v/>
      </c>
      <c r="F26" s="194"/>
      <c r="G26" s="15"/>
      <c r="I26" s="203" t="s">
        <v>318</v>
      </c>
      <c r="J26" s="278">
        <f>VLOOKUP(Ballast!C17,Constants!A1:C8,3,FALSE)</f>
        <v>460</v>
      </c>
      <c r="K26" s="205" t="s">
        <v>319</v>
      </c>
    </row>
    <row r="27" spans="1:14">
      <c r="A27" s="15"/>
      <c r="C27"/>
      <c r="D27" s="13"/>
      <c r="E27"/>
      <c r="F27" s="194"/>
      <c r="G27" s="15"/>
      <c r="I27" s="203" t="s">
        <v>320</v>
      </c>
      <c r="J27" s="279">
        <f>J22+J26</f>
        <v>496.18391458749102</v>
      </c>
      <c r="K27" s="205" t="s">
        <v>63</v>
      </c>
      <c r="L27" s="528" t="s">
        <v>310</v>
      </c>
      <c r="M27" s="529"/>
      <c r="N27" s="529"/>
    </row>
    <row r="28" spans="1:14" ht="13.5" thickBot="1">
      <c r="A28" s="18"/>
      <c r="B28" s="216" t="s">
        <v>321</v>
      </c>
      <c r="C28" s="297" t="e">
        <f>(C18*C25)+(C19*C26)</f>
        <v>#VALUE!</v>
      </c>
      <c r="D28" s="217" t="s">
        <v>322</v>
      </c>
      <c r="E28"/>
      <c r="F28" s="194"/>
      <c r="G28" s="15"/>
      <c r="I28" s="203" t="s">
        <v>323</v>
      </c>
      <c r="J28" s="279">
        <f>J22-J26</f>
        <v>-423.81608541250898</v>
      </c>
      <c r="K28" s="205" t="s">
        <v>63</v>
      </c>
      <c r="L28" s="528"/>
      <c r="M28" s="529"/>
      <c r="N28" s="529"/>
    </row>
    <row r="29" spans="1:14" ht="13.5" thickBot="1">
      <c r="B29" s="19"/>
      <c r="G29" s="15"/>
      <c r="I29" s="203" t="s">
        <v>324</v>
      </c>
      <c r="J29" s="279">
        <f>J23+J26</f>
        <v>-873.56277670400596</v>
      </c>
      <c r="K29" s="205" t="s">
        <v>63</v>
      </c>
      <c r="L29" s="528"/>
      <c r="M29" s="529"/>
      <c r="N29" s="529"/>
    </row>
    <row r="30" spans="1:14" ht="13.5" thickBot="1">
      <c r="A30" s="218" t="s">
        <v>325</v>
      </c>
      <c r="B30" s="10"/>
      <c r="C30" s="10"/>
      <c r="D30" s="11"/>
      <c r="G30" s="18"/>
      <c r="H30" s="22"/>
      <c r="I30" s="212" t="s">
        <v>326</v>
      </c>
      <c r="J30" s="280">
        <f>J23-J26</f>
        <v>-1793.562776704006</v>
      </c>
      <c r="K30" s="213" t="s">
        <v>63</v>
      </c>
      <c r="L30" s="528"/>
      <c r="M30" s="529"/>
      <c r="N30" s="529"/>
    </row>
    <row r="31" spans="1:14" ht="13.5" thickBot="1">
      <c r="A31" s="15"/>
      <c r="D31" s="13"/>
      <c r="F31" s="194"/>
    </row>
    <row r="32" spans="1:14" ht="25.5">
      <c r="A32" s="219" t="s">
        <v>327</v>
      </c>
      <c r="B32" s="219" t="s">
        <v>328</v>
      </c>
      <c r="C32" s="10" t="s">
        <v>329</v>
      </c>
      <c r="D32" s="220" t="s">
        <v>330</v>
      </c>
      <c r="E32" s="2" t="s">
        <v>331</v>
      </c>
      <c r="F32" s="194"/>
      <c r="G32" s="197" t="s">
        <v>332</v>
      </c>
      <c r="H32" s="198"/>
      <c r="I32" s="198"/>
      <c r="J32" s="198"/>
      <c r="K32" s="200"/>
    </row>
    <row r="33" spans="1:12" ht="13.5" customHeight="1" thickBot="1">
      <c r="A33" s="30" t="s">
        <v>333</v>
      </c>
      <c r="B33" s="30"/>
      <c r="C33" s="22" t="s">
        <v>334</v>
      </c>
      <c r="D33" s="30" t="s">
        <v>335</v>
      </c>
      <c r="E33" s="4" t="s">
        <v>336</v>
      </c>
      <c r="F33" s="194"/>
      <c r="G33" s="516" t="s">
        <v>337</v>
      </c>
      <c r="H33" s="517"/>
      <c r="I33" s="517"/>
      <c r="J33" s="517"/>
      <c r="K33" s="518"/>
    </row>
    <row r="34" spans="1:12">
      <c r="A34" s="262">
        <f>IF(Ballast!C17=Constants!A4,1,0)</f>
        <v>0</v>
      </c>
      <c r="B34" s="29" t="str">
        <f>A58</f>
        <v>FWD Plates</v>
      </c>
      <c r="C34" s="69">
        <v>0</v>
      </c>
      <c r="D34" s="282" t="e">
        <f>C58*C34</f>
        <v>#N/A</v>
      </c>
      <c r="E34" s="298"/>
      <c r="F34" s="287" t="str">
        <f t="shared" ref="F34:F44" si="0">IF(ABS(C34)&gt;5000,"Error: Weight adjustment too high","")</f>
        <v/>
      </c>
      <c r="G34" s="519"/>
      <c r="H34" s="443"/>
      <c r="I34" s="443"/>
      <c r="J34" s="443"/>
      <c r="K34" s="520"/>
    </row>
    <row r="35" spans="1:12">
      <c r="A35" s="69">
        <v>1</v>
      </c>
      <c r="B35" s="29" t="str">
        <f>A59</f>
        <v>FWD Ballast Bottles</v>
      </c>
      <c r="C35" s="69">
        <v>0</v>
      </c>
      <c r="D35" s="282" t="e">
        <f>C59*C35</f>
        <v>#VALUE!</v>
      </c>
      <c r="E35" s="299"/>
      <c r="F35" s="287" t="str">
        <f t="shared" si="0"/>
        <v/>
      </c>
      <c r="G35" s="513" t="s">
        <v>448</v>
      </c>
      <c r="H35" s="514"/>
      <c r="I35" s="514"/>
      <c r="J35" s="514"/>
      <c r="K35" s="515"/>
    </row>
    <row r="36" spans="1:12">
      <c r="A36" s="263">
        <f>IF(Ballast!C21&lt;&gt;"None",1,0)</f>
        <v>1</v>
      </c>
      <c r="B36" s="29" t="str">
        <f>A60</f>
        <v>FWD Secondary Bay Pie Weights</v>
      </c>
      <c r="C36" s="69">
        <v>0</v>
      </c>
      <c r="D36" s="282" t="e">
        <f>C60*C36</f>
        <v>#VALUE!</v>
      </c>
      <c r="E36" s="299"/>
      <c r="F36" s="287" t="str">
        <f t="shared" si="0"/>
        <v/>
      </c>
      <c r="G36" s="513" t="s">
        <v>338</v>
      </c>
      <c r="H36" s="514"/>
      <c r="I36" s="514"/>
      <c r="J36" s="514"/>
      <c r="K36" s="515"/>
    </row>
    <row r="37" spans="1:12">
      <c r="A37" s="69">
        <v>1</v>
      </c>
      <c r="B37" s="29" t="str">
        <f>A61</f>
        <v>FWD Primary Pie Weights</v>
      </c>
      <c r="C37" s="69">
        <v>0</v>
      </c>
      <c r="D37" s="282" t="e">
        <f>C61*C37</f>
        <v>#VALUE!</v>
      </c>
      <c r="E37" s="299"/>
      <c r="F37" s="287" t="str">
        <f t="shared" si="0"/>
        <v/>
      </c>
      <c r="G37" s="15"/>
      <c r="K37" s="13"/>
    </row>
    <row r="38" spans="1:12">
      <c r="A38" s="75">
        <v>1</v>
      </c>
      <c r="B38" s="419" t="s">
        <v>452</v>
      </c>
      <c r="C38" s="416">
        <v>0</v>
      </c>
      <c r="D38" s="282" t="e">
        <f t="shared" ref="D38:D40" si="1">C62*C38</f>
        <v>#VALUE!</v>
      </c>
      <c r="E38" s="299"/>
      <c r="F38" s="287" t="str">
        <f t="shared" si="0"/>
        <v/>
      </c>
      <c r="G38" s="15"/>
      <c r="H38" s="157"/>
      <c r="I38" s="203" t="s">
        <v>339</v>
      </c>
      <c r="J38" s="288">
        <f>Ballast!D51</f>
        <v>8.9</v>
      </c>
      <c r="K38" s="222" t="s">
        <v>340</v>
      </c>
      <c r="L38" s="291" t="str">
        <f>IF(J38=0,"",IF(J38&lt;4,"Error: weight of pitch battery too low. Re-check",IF(J38&gt;12,"Error: weight of pitch battery too high.  Re-check.","")))</f>
        <v/>
      </c>
    </row>
    <row r="39" spans="1:12">
      <c r="A39" s="69">
        <v>1</v>
      </c>
      <c r="B39" s="29" t="str">
        <f>A63</f>
        <v>Center</v>
      </c>
      <c r="C39" s="69">
        <v>0</v>
      </c>
      <c r="D39" s="282" t="e">
        <f t="shared" si="1"/>
        <v>#VALUE!</v>
      </c>
      <c r="E39" s="299"/>
      <c r="F39" s="287" t="str">
        <f t="shared" si="0"/>
        <v/>
      </c>
      <c r="G39" s="15"/>
      <c r="H39" s="157"/>
      <c r="I39" s="203" t="s">
        <v>341</v>
      </c>
      <c r="J39" s="84">
        <v>8.5500000000000007E-2</v>
      </c>
      <c r="K39" s="222" t="s">
        <v>342</v>
      </c>
      <c r="L39" s="291" t="str">
        <f>IF(ABS(J39&lt;1.25),"","Error: starting pitch too high.  Re-check.")</f>
        <v/>
      </c>
    </row>
    <row r="40" spans="1:12">
      <c r="A40" s="75">
        <v>1</v>
      </c>
      <c r="B40" s="419" t="s">
        <v>453</v>
      </c>
      <c r="C40" s="416">
        <v>0</v>
      </c>
      <c r="D40" s="282" t="e">
        <f t="shared" si="1"/>
        <v>#VALUE!</v>
      </c>
      <c r="E40" s="299"/>
      <c r="F40" s="287" t="str">
        <f t="shared" si="0"/>
        <v/>
      </c>
      <c r="G40" s="15"/>
      <c r="H40" s="157"/>
      <c r="I40" s="203" t="s">
        <v>343</v>
      </c>
      <c r="J40" s="84">
        <v>1.7000000000000001E-2</v>
      </c>
      <c r="K40" s="222" t="s">
        <v>344</v>
      </c>
      <c r="L40" s="291" t="str">
        <f>IF(ABS(J40)&gt;1.1,"Error, battery position out of range","")</f>
        <v/>
      </c>
    </row>
    <row r="41" spans="1:12" ht="16.5" customHeight="1">
      <c r="A41" s="69">
        <v>1</v>
      </c>
      <c r="B41" s="29" t="str">
        <f t="shared" ref="B41:B43" si="2">A65</f>
        <v>Wing Rail Slugs</v>
      </c>
      <c r="C41" s="69">
        <v>0</v>
      </c>
      <c r="D41" s="282" t="e">
        <f>C65*C41</f>
        <v>#VALUE!</v>
      </c>
      <c r="E41" s="299"/>
      <c r="F41" s="287" t="str">
        <f t="shared" si="0"/>
        <v/>
      </c>
      <c r="G41" s="223"/>
      <c r="H41" s="157"/>
      <c r="I41" s="203" t="s">
        <v>345</v>
      </c>
      <c r="J41" s="84">
        <v>-0.157</v>
      </c>
      <c r="K41" s="222" t="s">
        <v>342</v>
      </c>
      <c r="L41" s="291" t="str">
        <f>IF(ABS(J41&lt;1.25),"","Error: starting pitch too high.  Re-check.")</f>
        <v/>
      </c>
    </row>
    <row r="42" spans="1:12">
      <c r="A42" s="69">
        <v>1</v>
      </c>
      <c r="B42" s="29" t="str">
        <f t="shared" si="2"/>
        <v>AFT Primary Bay Pie Weights</v>
      </c>
      <c r="C42" s="69">
        <v>0</v>
      </c>
      <c r="D42" s="282" t="e">
        <f>C66*C42</f>
        <v>#VALUE!</v>
      </c>
      <c r="E42" s="299"/>
      <c r="F42" s="287" t="str">
        <f t="shared" si="0"/>
        <v/>
      </c>
      <c r="G42" s="15"/>
      <c r="H42" s="157"/>
      <c r="I42" s="203" t="s">
        <v>346</v>
      </c>
      <c r="J42" s="84">
        <v>0.28999999999999998</v>
      </c>
      <c r="K42" s="222" t="s">
        <v>344</v>
      </c>
      <c r="L42" s="291" t="str">
        <f>IF(ABS(J42)&gt;1.1,"Error, battery position out of range","")</f>
        <v/>
      </c>
    </row>
    <row r="43" spans="1:12" ht="13.5" thickBot="1">
      <c r="A43" s="70">
        <v>1</v>
      </c>
      <c r="B43" s="30" t="str">
        <f t="shared" si="2"/>
        <v>AFT Ballast Bottles</v>
      </c>
      <c r="C43" s="70">
        <v>0</v>
      </c>
      <c r="D43" s="283" t="e">
        <f>C67*C43</f>
        <v>#VALUE!</v>
      </c>
      <c r="E43" s="300"/>
      <c r="F43" s="287" t="str">
        <f t="shared" si="0"/>
        <v/>
      </c>
      <c r="G43" s="223"/>
      <c r="H43" s="157"/>
      <c r="I43" s="203" t="s">
        <v>347</v>
      </c>
      <c r="J43" s="289">
        <f>ABS(1000*25.4*(J40-J42)*(J38+0.1)/(Ballast!C36*Ballast!C47*TAN(J39-J41)))</f>
        <v>5.0457446721061814</v>
      </c>
      <c r="K43" s="224" t="s">
        <v>348</v>
      </c>
      <c r="L43"/>
    </row>
    <row r="44" spans="1:12" ht="13.5" thickBot="1">
      <c r="A44" s="18"/>
      <c r="B44" s="22"/>
      <c r="C44" s="276">
        <f>SUM(C34:C43)</f>
        <v>0</v>
      </c>
      <c r="D44" s="284" t="e">
        <f>SUMIF(D34:D43,"&lt;&gt;#N/A")</f>
        <v>#VALUE!</v>
      </c>
      <c r="F44" s="287" t="str">
        <f t="shared" si="0"/>
        <v/>
      </c>
      <c r="G44" s="15"/>
      <c r="H44" s="225"/>
      <c r="I44" s="203" t="s">
        <v>350</v>
      </c>
      <c r="J44" s="85">
        <v>1</v>
      </c>
      <c r="K44" s="222" t="s">
        <v>344</v>
      </c>
      <c r="L44" s="291" t="str">
        <f>IF(J44=1,"","Error: range of pitch battery is usually +/- 1 inch")</f>
        <v/>
      </c>
    </row>
    <row r="45" spans="1:12" ht="13.5" thickBot="1">
      <c r="C45" s="31"/>
      <c r="D45" s="83"/>
      <c r="F45" s="221"/>
      <c r="G45" s="18"/>
      <c r="H45" s="226"/>
      <c r="I45" s="212" t="s">
        <v>351</v>
      </c>
      <c r="J45" s="290">
        <f>DEGREES(ATAN((J44*25.4*J38/J20)/J43))</f>
        <v>42.541168045057439</v>
      </c>
      <c r="K45" s="227" t="s">
        <v>352</v>
      </c>
      <c r="L45"/>
    </row>
    <row r="46" spans="1:12" ht="13.5" hidden="1" thickBot="1">
      <c r="A46" s="135">
        <f>IF(A34,1,IF(A35,2,IF(A36,3,IF(A37,4,IF(A39,6,IF(A41,8,IF(A42,9,"Error")))))))</f>
        <v>2</v>
      </c>
      <c r="B46" s="135">
        <f>IF(A43,10,IF(A42,9,IF(A41,8,IF(A39,6,IF(A37,4,IF(A36,3,IF(A35,2,"error")))))))</f>
        <v>10</v>
      </c>
      <c r="C46" s="31"/>
      <c r="D46" s="83"/>
      <c r="F46" s="221"/>
    </row>
    <row r="47" spans="1:12" ht="13.5" thickBot="1">
      <c r="A47" s="264" t="s">
        <v>391</v>
      </c>
      <c r="B47" s="265"/>
      <c r="C47" s="265"/>
      <c r="D47" s="265"/>
      <c r="E47" s="266"/>
      <c r="F47" s="232"/>
    </row>
    <row r="48" spans="1:12">
      <c r="A48" s="15"/>
      <c r="B48" s="292">
        <f>ABS((C18+C19-C20)+C44)</f>
        <v>36.183914587503274</v>
      </c>
      <c r="C48" s="534" t="str">
        <f>IF(((C18+C19-C20)+C44)&gt;=0,"additional grams need to be removed", "additional grams need to be added")</f>
        <v>additional grams need to be added</v>
      </c>
      <c r="D48" s="534"/>
      <c r="E48" s="535"/>
      <c r="F48" s="194"/>
    </row>
    <row r="49" spans="1:6">
      <c r="A49" s="15"/>
      <c r="B49" s="293" t="e">
        <f>ABS((C28+D44)/(INDEX(C58:C67,IF(A43,8,IF(A42,7,IF(A41,6,IF(A39,5,IF(A37,4,IF(A36,3,IF(A35,2,"error"))))))))-INDEX(C58:C67,IF(A34,1,IF(A35,2,IF(A36,3,IF(A37,4,IF(A39,5,IF(A41,6,IF(A42,7,"Error"))))))))))</f>
        <v>#VALUE!</v>
      </c>
      <c r="C49" s="536" t="e">
        <f>CONCATENATE("Grams need to move from ",IF((C28+D44)&lt;=0,INDEX(A58:A67,A46,1),INDEX(A58:A67,B46,1))," to ",IF((C28+D44)&lt;=0,INDEX(A58:A67,B46,1),INDEX(A58:A67,A46,1)))</f>
        <v>#VALUE!</v>
      </c>
      <c r="D49" s="536"/>
      <c r="E49" s="537"/>
      <c r="F49" s="194"/>
    </row>
    <row r="50" spans="1:6">
      <c r="A50" s="15"/>
      <c r="B50" s="293" t="e">
        <f>INDEX(C34:C43,IF(A34,1,IF(A35,2,IF(A36,3,IF(A37,4,IF(A39,5,IF(A41,6,IF(A42,7,"Error"))))))))+(C28+D44)/(INDEX(C58:C67,IF(A43,8,IF(A42,7,IF(A41,6,IF(A39,5,IF(A37,4,IF(A36,3,IF(A35,2,"error"))))))))-INDEX(C58:C67,IF(A34,1,IF(A35,2,IF(A36,3,IF(A37,4,IF(A39,5,IF(A41,6,IF(A42,7,"Error")))))))))</f>
        <v>#VALUE!</v>
      </c>
      <c r="C50" s="538" t="str">
        <f>CONCATENATE("Change ",INDEX(A58:A67,IF(A34,1,IF(A35,2,IF(A36,3,IF(A37,4,IF(A39,6,IF(A41,8,IF(A42,9,"Error"))))))),1)," to this:")</f>
        <v>Change FWD Ballast Bottles to this:</v>
      </c>
      <c r="D50" s="538"/>
      <c r="E50" s="539"/>
      <c r="F50" s="229" t="s">
        <v>353</v>
      </c>
    </row>
    <row r="51" spans="1:6" ht="13.5" thickBot="1">
      <c r="A51" s="18"/>
      <c r="B51" s="294" t="e">
        <f>INDEX(C34:C43,IF(A43,8,IF(A42,7,IF(A41,6,IF(A39,5,IF(A37,4,IF(A36,3,IF(A35,2,"error"))))))))-((C28+D44)/(INDEX(C58:C67,IF(A43,8,IF(A42,7,IF(A41,6,IF(A39,5,IF(A37,4,IF(A36,3,IF(A35,2,"error"))))))))-INDEX(C58:C67,IF(A34,1,IF(A35,2,IF(A36,3,IF(A37,4,IF(A39,5,IF(A41,6,IF(A42,7,"Error"))))))))))</f>
        <v>#VALUE!</v>
      </c>
      <c r="C51" s="540" t="str">
        <f>CONCATENATE("Change ",INDEX(A58:A67,IF(A43,10,IF(A42,9,IF(A41,8,IF(A39,6,IF(A37,4,IF(A36,3,IF(A35,2,"error"))))))),1)," to this:")</f>
        <v>Change AFT Ballast Bottles to this:</v>
      </c>
      <c r="D51" s="540"/>
      <c r="E51" s="541"/>
      <c r="F51" s="229" t="s">
        <v>354</v>
      </c>
    </row>
    <row r="52" spans="1:6" ht="13.5" thickBot="1"/>
    <row r="53" spans="1:6">
      <c r="A53" s="218" t="s">
        <v>355</v>
      </c>
      <c r="B53" s="10"/>
      <c r="C53" s="10"/>
      <c r="D53" s="11"/>
    </row>
    <row r="54" spans="1:6">
      <c r="A54" s="15"/>
      <c r="B54" s="230" t="s">
        <v>356</v>
      </c>
      <c r="C54" s="301" t="str">
        <f>IF(Ballast!C17="G2 Shallow (&lt;=200m)",Constants!D69,IF(Ballast!C17="G2 Deep (1000m)",Constants!D69,"Wrong Glider Selected"))</f>
        <v>Wrong Glider Selected</v>
      </c>
      <c r="D54" s="20"/>
    </row>
    <row r="55" spans="1:6" ht="13.5" thickBot="1">
      <c r="A55" s="15"/>
      <c r="D55" s="13"/>
    </row>
    <row r="56" spans="1:6">
      <c r="A56" s="219" t="s">
        <v>357</v>
      </c>
      <c r="B56" s="219" t="s">
        <v>392</v>
      </c>
      <c r="C56" s="219" t="s">
        <v>359</v>
      </c>
      <c r="D56" s="13"/>
    </row>
    <row r="57" spans="1:6" ht="13.5" thickBot="1">
      <c r="A57" s="30"/>
      <c r="B57" s="30" t="s">
        <v>314</v>
      </c>
      <c r="C57" s="30" t="s">
        <v>314</v>
      </c>
      <c r="D57" s="13"/>
      <c r="E57" s="229" t="s">
        <v>360</v>
      </c>
    </row>
    <row r="58" spans="1:6">
      <c r="A58" s="231" t="s">
        <v>393</v>
      </c>
      <c r="B58" s="49" t="e">
        <f>VLOOKUP(Ballast!C17,Constants!A4:Q8,16,FALSE)</f>
        <v>#N/A</v>
      </c>
      <c r="C58" s="52" t="e">
        <f t="shared" ref="C58:C67" si="3">B58-C$54</f>
        <v>#N/A</v>
      </c>
      <c r="D58" s="13"/>
      <c r="E58" s="229" t="s">
        <v>362</v>
      </c>
    </row>
    <row r="59" spans="1:6">
      <c r="A59" s="267" t="s">
        <v>394</v>
      </c>
      <c r="B59" s="56">
        <f>VLOOKUP(Ballast!C17,Constants!A4:Q8,17,FALSE)</f>
        <v>5.75</v>
      </c>
      <c r="C59" s="53" t="e">
        <f t="shared" si="3"/>
        <v>#VALUE!</v>
      </c>
      <c r="D59" s="13"/>
      <c r="E59" s="229" t="s">
        <v>363</v>
      </c>
    </row>
    <row r="60" spans="1:6">
      <c r="A60" s="267" t="s">
        <v>395</v>
      </c>
      <c r="B60" s="50">
        <f>IF(Ballast!C21&lt;&gt;"None",Constants!B65,#N/A)</f>
        <v>19.785620082003149</v>
      </c>
      <c r="C60" s="53" t="e">
        <f t="shared" si="3"/>
        <v>#VALUE!</v>
      </c>
      <c r="D60" s="13"/>
      <c r="E60" s="229" t="s">
        <v>365</v>
      </c>
    </row>
    <row r="61" spans="1:6">
      <c r="A61" s="267" t="s">
        <v>396</v>
      </c>
      <c r="B61" s="50">
        <f>IF(Ballast!C21&lt;&gt;"None",B60+Constants!B65,Constants!B65)</f>
        <v>39.571240164006298</v>
      </c>
      <c r="C61" s="53" t="e">
        <f t="shared" si="3"/>
        <v>#VALUE!</v>
      </c>
      <c r="D61" s="13"/>
      <c r="E61" s="229" t="s">
        <v>367</v>
      </c>
    </row>
    <row r="62" spans="1:6">
      <c r="A62" s="267" t="str">
        <f>B38</f>
        <v>Custom Location 1</v>
      </c>
      <c r="B62" s="422"/>
      <c r="C62" s="53" t="e">
        <f t="shared" si="3"/>
        <v>#VALUE!</v>
      </c>
      <c r="D62" s="13"/>
      <c r="E62" s="229" t="s">
        <v>369</v>
      </c>
    </row>
    <row r="63" spans="1:6">
      <c r="A63" s="267" t="s">
        <v>368</v>
      </c>
      <c r="B63" s="50">
        <f>Constants!B69*0.5</f>
        <v>30.708424472834512</v>
      </c>
      <c r="C63" s="53" t="e">
        <f t="shared" si="3"/>
        <v>#VALUE!</v>
      </c>
      <c r="D63" s="13"/>
    </row>
    <row r="64" spans="1:6">
      <c r="A64" s="267" t="str">
        <f>B40</f>
        <v>Custom Location 2</v>
      </c>
      <c r="B64" s="422"/>
      <c r="C64" s="53" t="e">
        <f t="shared" si="3"/>
        <v>#VALUE!</v>
      </c>
      <c r="D64" s="13"/>
    </row>
    <row r="65" spans="1:12" ht="14.65" customHeight="1">
      <c r="A65" s="267" t="s">
        <v>397</v>
      </c>
      <c r="B65" s="50">
        <f>B61+0.5*Constants!B67</f>
        <v>44.749698753370083</v>
      </c>
      <c r="C65" s="53" t="e">
        <f t="shared" si="3"/>
        <v>#VALUE!</v>
      </c>
      <c r="D65" s="13"/>
    </row>
    <row r="66" spans="1:12" s="234" customFormat="1" ht="14.65" customHeight="1">
      <c r="A66" s="267" t="s">
        <v>398</v>
      </c>
      <c r="B66" s="50">
        <f>B61+Constants!B67</f>
        <v>49.928157342733869</v>
      </c>
      <c r="C66" s="53" t="e">
        <f t="shared" si="3"/>
        <v>#VALUE!</v>
      </c>
      <c r="D66" s="13"/>
      <c r="E66" s="1"/>
      <c r="F66" s="1"/>
    </row>
    <row r="67" spans="1:12" s="234" customFormat="1" ht="14.65" customHeight="1" thickBot="1">
      <c r="A67" s="233" t="s">
        <v>399</v>
      </c>
      <c r="B67" s="51">
        <f>B66+0.64+Constants!B66</f>
        <v>71.819378912292805</v>
      </c>
      <c r="C67" s="54" t="e">
        <f t="shared" si="3"/>
        <v>#VALUE!</v>
      </c>
      <c r="D67" s="21"/>
      <c r="E67" s="1"/>
      <c r="F67" s="1"/>
    </row>
    <row r="68" spans="1:12" s="234" customFormat="1" ht="13.15" customHeight="1">
      <c r="A68" s="1"/>
      <c r="B68" s="17"/>
      <c r="C68" s="228"/>
      <c r="D68" s="1"/>
    </row>
    <row r="69" spans="1:12" s="234" customFormat="1" ht="13.15" customHeight="1">
      <c r="A69" s="1"/>
      <c r="B69" s="1"/>
      <c r="C69" s="1"/>
      <c r="E69" s="1"/>
      <c r="F69" s="194"/>
    </row>
    <row r="70" spans="1:12" s="234" customFormat="1" ht="13.15" customHeight="1">
      <c r="E70" s="244"/>
      <c r="F70" s="248"/>
    </row>
    <row r="71" spans="1:12" s="234" customFormat="1" ht="14.45" customHeight="1">
      <c r="A71" s="124" t="s">
        <v>372</v>
      </c>
      <c r="B71" s="125"/>
      <c r="C71" s="125"/>
      <c r="D71" s="125"/>
      <c r="E71" s="243"/>
      <c r="F71" s="248"/>
    </row>
    <row r="72" spans="1:12" s="234" customFormat="1" ht="35.25" customHeight="1">
      <c r="A72" s="521" t="s">
        <v>373</v>
      </c>
      <c r="B72" s="525"/>
      <c r="C72" s="525"/>
      <c r="D72" s="525"/>
      <c r="E72" s="243"/>
      <c r="F72" s="248"/>
    </row>
    <row r="73" spans="1:12" ht="43.9" customHeight="1">
      <c r="A73" s="521" t="s">
        <v>374</v>
      </c>
      <c r="B73" s="521"/>
      <c r="C73" s="521"/>
      <c r="D73" s="521"/>
      <c r="E73" s="243"/>
      <c r="F73" s="248"/>
    </row>
    <row r="74" spans="1:12" ht="35.450000000000003" customHeight="1">
      <c r="A74" s="521" t="s">
        <v>375</v>
      </c>
      <c r="B74" s="521"/>
      <c r="C74" s="521"/>
      <c r="D74" s="521"/>
      <c r="E74" s="243"/>
      <c r="F74" s="248"/>
    </row>
    <row r="75" spans="1:12" s="243" customFormat="1" ht="58.15" customHeight="1">
      <c r="A75" s="521" t="s">
        <v>400</v>
      </c>
      <c r="B75" s="521"/>
      <c r="C75" s="521"/>
      <c r="D75" s="521"/>
      <c r="F75" s="248"/>
      <c r="I75" s="1"/>
      <c r="J75" s="1"/>
      <c r="K75" s="258"/>
      <c r="L75" s="17"/>
    </row>
    <row r="76" spans="1:12" s="243" customFormat="1" ht="31.9" customHeight="1">
      <c r="A76" s="521" t="s">
        <v>401</v>
      </c>
      <c r="B76" s="521"/>
      <c r="C76" s="521"/>
      <c r="D76" s="521"/>
      <c r="E76" s="1"/>
      <c r="F76" s="194"/>
      <c r="I76" s="1"/>
      <c r="J76" s="1"/>
      <c r="K76" s="258"/>
      <c r="L76" s="17"/>
    </row>
    <row r="77" spans="1:12" s="243" customFormat="1" ht="31.9" customHeight="1">
      <c r="A77" s="443" t="s">
        <v>378</v>
      </c>
      <c r="B77" s="444"/>
      <c r="C77" s="444"/>
      <c r="D77" s="444"/>
      <c r="E77" s="1"/>
      <c r="F77" s="194"/>
    </row>
    <row r="78" spans="1:12" s="243" customFormat="1" ht="42" customHeight="1">
      <c r="A78" s="521" t="s">
        <v>402</v>
      </c>
      <c r="B78" s="521"/>
      <c r="C78" s="521"/>
      <c r="D78" s="521"/>
      <c r="E78" s="1"/>
      <c r="F78" s="194"/>
    </row>
    <row r="79" spans="1:12" s="243" customFormat="1" ht="55.9" customHeight="1">
      <c r="A79" s="443" t="s">
        <v>380</v>
      </c>
      <c r="B79" s="444"/>
      <c r="C79" s="444"/>
      <c r="D79" s="444"/>
      <c r="E79" s="1"/>
      <c r="F79" s="1"/>
    </row>
    <row r="80" spans="1:12" s="243" customFormat="1" ht="58.9" customHeight="1">
      <c r="A80" s="443" t="s">
        <v>381</v>
      </c>
      <c r="B80" s="443"/>
      <c r="C80" s="443"/>
      <c r="D80" s="443"/>
      <c r="E80" s="1"/>
      <c r="F80" s="1"/>
    </row>
    <row r="81" spans="1:4" ht="15" customHeight="1">
      <c r="A81" s="89"/>
      <c r="B81" s="125"/>
      <c r="C81" s="125"/>
      <c r="D81" s="241"/>
    </row>
    <row r="82" spans="1:4">
      <c r="A82" s="125" t="s">
        <v>382</v>
      </c>
      <c r="B82" s="125"/>
      <c r="C82" s="125"/>
      <c r="D82" s="241"/>
    </row>
  </sheetData>
  <sheetProtection algorithmName="SHA-512" hashValue="8eIka++9JOY2v02y57gUgCAkCXsULrmCD4KaXNJUsMq8ZC103YAWTZ4aG8GavxFuwUcRiALVhUaZxpXQyrVv+A==" saltValue="S8/EsgSqk6ivXPt/TRvEgw==" spinCount="100000" sheet="1" objects="1" scenarios="1"/>
  <mergeCells count="24">
    <mergeCell ref="A73:D73"/>
    <mergeCell ref="A74:D74"/>
    <mergeCell ref="A75:D75"/>
    <mergeCell ref="A76:D76"/>
    <mergeCell ref="C48:E48"/>
    <mergeCell ref="C49:E49"/>
    <mergeCell ref="C50:E50"/>
    <mergeCell ref="C51:E51"/>
    <mergeCell ref="A4:C4"/>
    <mergeCell ref="A79:D79"/>
    <mergeCell ref="A80:D80"/>
    <mergeCell ref="L22:N23"/>
    <mergeCell ref="L27:N30"/>
    <mergeCell ref="C7:C8"/>
    <mergeCell ref="A10:D13"/>
    <mergeCell ref="A77:D77"/>
    <mergeCell ref="E10:K12"/>
    <mergeCell ref="E13:K13"/>
    <mergeCell ref="G33:K34"/>
    <mergeCell ref="G35:K35"/>
    <mergeCell ref="G36:K36"/>
    <mergeCell ref="A78:D78"/>
    <mergeCell ref="A15:D15"/>
    <mergeCell ref="A72:D72"/>
  </mergeCells>
  <conditionalFormatting sqref="J30">
    <cfRule type="expression" dxfId="43" priority="2">
      <formula>IF(($J$30&gt;-150),1,0)</formula>
    </cfRule>
    <cfRule type="expression" dxfId="42" priority="14">
      <formula>IF(($J$30&gt;-50),1,0)</formula>
    </cfRule>
  </conditionalFormatting>
  <conditionalFormatting sqref="J27">
    <cfRule type="expression" dxfId="41" priority="3">
      <formula>IF(($J$27&lt;100),1,0)</formula>
    </cfRule>
    <cfRule type="expression" dxfId="40" priority="17">
      <formula>IF(($J$27&lt;200),1,0)</formula>
    </cfRule>
  </conditionalFormatting>
  <conditionalFormatting sqref="J28">
    <cfRule type="expression" dxfId="39" priority="16">
      <formula>IF(($J$28&gt;-120),1,0)</formula>
    </cfRule>
  </conditionalFormatting>
  <conditionalFormatting sqref="J29">
    <cfRule type="expression" dxfId="38" priority="15">
      <formula>IF(($J$29&lt;120),1,0)</formula>
    </cfRule>
  </conditionalFormatting>
  <conditionalFormatting sqref="E10:K13">
    <cfRule type="expression" dxfId="37" priority="12">
      <formula>IF(($C$44+$D$44=0),0,1)</formula>
    </cfRule>
  </conditionalFormatting>
  <conditionalFormatting sqref="J43">
    <cfRule type="expression" dxfId="36" priority="11">
      <formula>IF(AND(($J$43&gt;=4),($J$43&lt;=6.5)),1,0)</formula>
    </cfRule>
  </conditionalFormatting>
  <conditionalFormatting sqref="J23">
    <cfRule type="expression" dxfId="35" priority="4">
      <formula>IF((-80&gt;$J$23),1,0)</formula>
    </cfRule>
    <cfRule type="expression" dxfId="34" priority="7">
      <formula>IF(($J$23&gt;150),1,0)</formula>
    </cfRule>
    <cfRule type="expression" dxfId="33" priority="8">
      <formula>IF(($J$23&gt;80),1,0)</formula>
    </cfRule>
  </conditionalFormatting>
  <conditionalFormatting sqref="J22">
    <cfRule type="expression" dxfId="32" priority="5">
      <formula>IF((-150&gt;$J$22),1,0)</formula>
    </cfRule>
    <cfRule type="expression" dxfId="31" priority="6">
      <formula>IF((-10&gt;$J$22),1,0)</formula>
    </cfRule>
  </conditionalFormatting>
  <pageMargins left="0.75" right="0.75" top="1" bottom="1" header="0.5" footer="0.5"/>
  <pageSetup scale="74" orientation="portrait"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05595A8D-81B6-4CB0-B397-CEEC5B8DEF62}">
            <xm:f>IF(Ballast!$E$40="Target Tank",1,0)</xm:f>
            <x14:dxf>
              <font>
                <color theme="0"/>
              </font>
              <fill>
                <patternFill patternType="none">
                  <bgColor auto="1"/>
                </patternFill>
              </fill>
            </x14:dxf>
          </x14:cfRule>
          <xm:sqref>G21:K21 G23:K23 G29:K30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A1:N90"/>
  <sheetViews>
    <sheetView tabSelected="1" zoomScaleNormal="100" workbookViewId="0">
      <selection activeCell="M7" sqref="M7"/>
    </sheetView>
  </sheetViews>
  <sheetFormatPr defaultColWidth="9.28515625" defaultRowHeight="12.75"/>
  <cols>
    <col min="1" max="1" width="31.28515625" style="1" customWidth="1"/>
    <col min="2" max="2" width="28.42578125" style="1" customWidth="1"/>
    <col min="3" max="3" width="23.28515625" style="1" customWidth="1"/>
    <col min="4" max="4" width="14.28515625" style="1" customWidth="1"/>
    <col min="5" max="5" width="20.7109375" style="1" customWidth="1"/>
    <col min="6" max="6" width="9.28515625" style="1" customWidth="1"/>
    <col min="7" max="7" width="9.28515625" style="1"/>
    <col min="8" max="8" width="9.28515625" style="1" customWidth="1"/>
    <col min="9" max="16384" width="9.28515625" style="1"/>
  </cols>
  <sheetData>
    <row r="1" spans="1:11" ht="20.25" customHeight="1">
      <c r="D1" s="165" t="s">
        <v>0</v>
      </c>
      <c r="E1" s="320" t="str">
        <f>Ballast!$H$1</f>
        <v>4095-GBPSH</v>
      </c>
    </row>
    <row r="2" spans="1:11" ht="20.25" customHeight="1">
      <c r="D2" s="166" t="s">
        <v>2</v>
      </c>
      <c r="E2" s="321" t="str">
        <f>Ballast!$H$2</f>
        <v>NOC 2.7</v>
      </c>
    </row>
    <row r="3" spans="1:11" ht="20.25" customHeight="1">
      <c r="D3" s="166" t="s">
        <v>3</v>
      </c>
      <c r="E3" s="322">
        <f>Ballast!$H$3</f>
        <v>45618</v>
      </c>
    </row>
    <row r="4" spans="1:11" ht="20.25" customHeight="1" thickBot="1">
      <c r="A4" s="522" t="str">
        <f>IF(Ballast!C17&lt;&gt;"","","Please Select Glider Type in Ballast Sheet")</f>
        <v/>
      </c>
      <c r="B4" s="522"/>
      <c r="C4" s="523"/>
      <c r="D4" s="167" t="s">
        <v>4</v>
      </c>
      <c r="E4" s="323">
        <f>Ballast!$H$4</f>
        <v>12698</v>
      </c>
    </row>
    <row r="5" spans="1:11" ht="15" customHeight="1" thickBot="1"/>
    <row r="6" spans="1:11" ht="6.75" customHeight="1" thickTop="1" thickBot="1">
      <c r="A6" s="9"/>
      <c r="B6" s="9"/>
      <c r="C6" s="9"/>
      <c r="D6" s="9"/>
      <c r="E6" s="9"/>
    </row>
    <row r="7" spans="1:11">
      <c r="A7" s="190" t="s">
        <v>298</v>
      </c>
      <c r="B7" s="191" t="str">
        <f>IF(ISBLANK(Ballast!C14),"",Ballast!C14)</f>
        <v>unit_1104</v>
      </c>
      <c r="C7" s="527" t="str">
        <f>IF(Ballast!C17=Constants!A6,"",IF(Ballast!C17=Constants!A7,"",IF(Ballast!C17=Constants!A8,"","Wrong Generation Glider Selected")))</f>
        <v/>
      </c>
      <c r="F7" s="194"/>
    </row>
    <row r="8" spans="1:11" ht="14.25" customHeight="1" thickBot="1">
      <c r="A8" s="192" t="s">
        <v>3</v>
      </c>
      <c r="B8" s="193" t="str">
        <f>IF(ISBLANK(Ballast!C16),"",Ballast!C16)</f>
        <v>Office</v>
      </c>
      <c r="C8" s="527"/>
      <c r="F8" s="194"/>
    </row>
    <row r="9" spans="1:11" ht="18" customHeight="1">
      <c r="A9" s="260"/>
      <c r="B9" s="260"/>
      <c r="C9" s="260"/>
      <c r="D9" s="260"/>
      <c r="F9" s="194"/>
      <c r="G9" s="259"/>
      <c r="H9" s="259"/>
    </row>
    <row r="10" spans="1:11" ht="24.6" customHeight="1">
      <c r="A10" s="542"/>
      <c r="B10" s="542"/>
      <c r="C10" s="542"/>
      <c r="D10" s="542"/>
      <c r="E10" s="531" t="s">
        <v>8</v>
      </c>
      <c r="F10" s="531"/>
      <c r="G10" s="531"/>
      <c r="H10" s="531"/>
      <c r="I10" s="531"/>
      <c r="J10" s="531"/>
      <c r="K10" s="531"/>
    </row>
    <row r="11" spans="1:11" ht="28.9" customHeight="1">
      <c r="A11" s="542"/>
      <c r="B11" s="542"/>
      <c r="C11" s="542"/>
      <c r="D11" s="542"/>
      <c r="E11" s="531"/>
      <c r="F11" s="531"/>
      <c r="G11" s="531"/>
      <c r="H11" s="531"/>
      <c r="I11" s="531"/>
      <c r="J11" s="531"/>
      <c r="K11" s="531"/>
    </row>
    <row r="12" spans="1:11" ht="29.65" customHeight="1">
      <c r="A12" s="542"/>
      <c r="B12" s="542"/>
      <c r="C12" s="542"/>
      <c r="D12" s="542"/>
      <c r="E12" s="531"/>
      <c r="F12" s="531"/>
      <c r="G12" s="531"/>
      <c r="H12" s="531"/>
      <c r="I12" s="531"/>
      <c r="J12" s="531"/>
      <c r="K12" s="531"/>
    </row>
    <row r="13" spans="1:11" ht="19.899999999999999" customHeight="1">
      <c r="A13" s="542"/>
      <c r="B13" s="542"/>
      <c r="C13" s="542"/>
      <c r="D13" s="542"/>
      <c r="E13" s="532" t="s">
        <v>17</v>
      </c>
      <c r="F13" s="532"/>
      <c r="G13" s="532"/>
      <c r="H13" s="532"/>
      <c r="I13" s="532"/>
      <c r="J13" s="532"/>
      <c r="K13" s="532"/>
    </row>
    <row r="14" spans="1:11" ht="15" customHeight="1">
      <c r="A14" s="260"/>
      <c r="B14" s="260"/>
      <c r="C14" s="260"/>
      <c r="D14" s="260"/>
      <c r="F14" s="194"/>
    </row>
    <row r="15" spans="1:11">
      <c r="A15" s="524" t="s">
        <v>299</v>
      </c>
      <c r="B15" s="524"/>
      <c r="C15" s="524"/>
      <c r="D15" s="524"/>
      <c r="F15" s="194"/>
    </row>
    <row r="16" spans="1:11" ht="13.5" thickBot="1">
      <c r="A16" s="195"/>
      <c r="F16" s="194"/>
      <c r="J16" s="259"/>
      <c r="K16" s="259"/>
    </row>
    <row r="17" spans="1:14">
      <c r="A17" s="196" t="s">
        <v>300</v>
      </c>
      <c r="B17" s="10"/>
      <c r="C17" s="10"/>
      <c r="D17" s="11"/>
      <c r="E17"/>
      <c r="G17" s="197" t="s">
        <v>301</v>
      </c>
      <c r="H17" s="198"/>
      <c r="I17" s="199"/>
      <c r="J17" s="198"/>
      <c r="K17" s="200"/>
    </row>
    <row r="18" spans="1:14">
      <c r="A18" s="12"/>
      <c r="B18" s="201" t="s">
        <v>302</v>
      </c>
      <c r="C18" s="67"/>
      <c r="D18" s="13" t="s">
        <v>63</v>
      </c>
      <c r="E18" s="277" t="str">
        <f>IF(C18&gt;5000,"Error: scale reading too high",IF(C18&lt;0,"Error: scale reading should be positive",""))</f>
        <v/>
      </c>
      <c r="F18" s="14"/>
      <c r="G18" s="202"/>
      <c r="I18" s="203" t="s">
        <v>303</v>
      </c>
      <c r="J18" s="278">
        <f>Ballast!J32*1000</f>
        <v>50000</v>
      </c>
      <c r="K18" s="205" t="s">
        <v>63</v>
      </c>
    </row>
    <row r="19" spans="1:14">
      <c r="A19" s="15"/>
      <c r="B19" s="206" t="s">
        <v>304</v>
      </c>
      <c r="C19" s="67"/>
      <c r="D19" s="13" t="s">
        <v>63</v>
      </c>
      <c r="E19" s="277" t="str">
        <f>IF(C19&gt;5000,"Error: scale reading too high",IF(C19&lt;0,"Error: scale reading should be positive",""))</f>
        <v/>
      </c>
      <c r="G19" s="202"/>
      <c r="I19" s="203" t="s">
        <v>305</v>
      </c>
      <c r="J19" s="273">
        <f>C18+C19</f>
        <v>0</v>
      </c>
      <c r="K19" s="205" t="s">
        <v>63</v>
      </c>
    </row>
    <row r="20" spans="1:14">
      <c r="A20" s="15"/>
      <c r="B20" s="206" t="s">
        <v>306</v>
      </c>
      <c r="C20" s="273">
        <f>Ballast!G48</f>
        <v>36.183914587503274</v>
      </c>
      <c r="D20" s="13" t="s">
        <v>63</v>
      </c>
      <c r="E20"/>
      <c r="G20" s="202"/>
      <c r="I20" s="203" t="s">
        <v>307</v>
      </c>
      <c r="J20" s="278">
        <f>Ballast!C36</f>
        <v>48.822447795905191</v>
      </c>
      <c r="K20" s="205" t="s">
        <v>44</v>
      </c>
    </row>
    <row r="21" spans="1:14">
      <c r="A21" s="16"/>
      <c r="B21" s="207" t="str">
        <f>IF((C18+C19-C20)&gt;0,"Total weight to remove:","Total weight to add:")</f>
        <v>Total weight to add:</v>
      </c>
      <c r="C21" s="274">
        <f>ABS(C18+C19-C20)</f>
        <v>36.183914587503274</v>
      </c>
      <c r="D21" s="208" t="s">
        <v>63</v>
      </c>
      <c r="E21"/>
      <c r="G21" s="202"/>
      <c r="I21" s="203" t="s">
        <v>308</v>
      </c>
      <c r="J21" s="278">
        <f>Ballast!M50</f>
        <v>48.492447795905193</v>
      </c>
      <c r="K21" s="205" t="s">
        <v>44</v>
      </c>
    </row>
    <row r="22" spans="1:14">
      <c r="A22" s="15"/>
      <c r="C22" s="17"/>
      <c r="D22" s="13"/>
      <c r="E22"/>
      <c r="G22" s="202"/>
      <c r="I22" s="203" t="s">
        <v>309</v>
      </c>
      <c r="J22" s="279">
        <f>Ballast!G41+((Ballast!E47/1000)*(J20*1000))-J18</f>
        <v>36.183914587491017</v>
      </c>
      <c r="K22" s="205" t="s">
        <v>63</v>
      </c>
      <c r="L22" s="528" t="s">
        <v>310</v>
      </c>
      <c r="M22" s="529"/>
      <c r="N22" s="529"/>
    </row>
    <row r="23" spans="1:14" ht="13.5" thickBot="1">
      <c r="A23" s="15"/>
      <c r="B23" s="209" t="s">
        <v>311</v>
      </c>
      <c r="C23" s="210" t="s">
        <v>312</v>
      </c>
      <c r="D23" s="13"/>
      <c r="E23"/>
      <c r="F23" s="194"/>
      <c r="G23" s="211"/>
      <c r="H23" s="22"/>
      <c r="I23" s="212" t="s">
        <v>313</v>
      </c>
      <c r="J23" s="280">
        <f>Ballast!M41+((Ballast!K47/1000)*(J21*1000))-J18</f>
        <v>-1333.562776704006</v>
      </c>
      <c r="K23" s="213" t="s">
        <v>63</v>
      </c>
      <c r="L23" s="528"/>
      <c r="M23" s="529"/>
      <c r="N23" s="529"/>
    </row>
    <row r="24" spans="1:14" ht="13.5" thickBot="1">
      <c r="A24" s="15"/>
      <c r="B24" s="261" t="s">
        <v>388</v>
      </c>
      <c r="C24" s="214" t="s">
        <v>314</v>
      </c>
      <c r="D24" s="13"/>
      <c r="E24"/>
      <c r="F24" s="194"/>
    </row>
    <row r="25" spans="1:14">
      <c r="A25" s="204" t="s">
        <v>389</v>
      </c>
      <c r="B25" s="77">
        <v>30</v>
      </c>
      <c r="C25" s="275">
        <f>(B25/25.4)-$C$57</f>
        <v>-31.32882211062978</v>
      </c>
      <c r="D25" s="13"/>
      <c r="E25" t="str">
        <f>IF(B25&lt;-250,"Error: Check scale position",IF(B25&gt;750, "Error, check scale position",""))</f>
        <v/>
      </c>
      <c r="F25" s="194"/>
      <c r="G25" s="197" t="s">
        <v>316</v>
      </c>
      <c r="H25" s="215"/>
      <c r="I25" s="198"/>
      <c r="J25" s="198"/>
      <c r="K25" s="200"/>
    </row>
    <row r="26" spans="1:14">
      <c r="A26" s="204" t="s">
        <v>390</v>
      </c>
      <c r="B26" s="77">
        <v>1260</v>
      </c>
      <c r="C26" s="275">
        <f>(B26/25.4)-$C$57</f>
        <v>17.096374739763924</v>
      </c>
      <c r="D26" s="13"/>
      <c r="E26" t="str">
        <f>IF(B26&lt;500,"Error: Check scale position",IF(B26&gt;1770, "Error, check scale position",""))</f>
        <v/>
      </c>
      <c r="F26" s="194"/>
      <c r="G26" s="15"/>
      <c r="I26" s="203" t="s">
        <v>318</v>
      </c>
      <c r="J26" s="278">
        <f>VLOOKUP(Ballast!C17,Constants!A1:C8,3,FALSE)</f>
        <v>460</v>
      </c>
      <c r="K26" s="205" t="s">
        <v>319</v>
      </c>
    </row>
    <row r="27" spans="1:14">
      <c r="A27" s="15"/>
      <c r="C27"/>
      <c r="D27" s="13"/>
      <c r="E27"/>
      <c r="F27" s="194"/>
      <c r="G27" s="15"/>
      <c r="I27" s="203" t="s">
        <v>320</v>
      </c>
      <c r="J27" s="279">
        <f>J22+J26</f>
        <v>496.18391458749102</v>
      </c>
      <c r="K27" s="205" t="s">
        <v>63</v>
      </c>
      <c r="L27" s="528" t="s">
        <v>310</v>
      </c>
      <c r="M27" s="529"/>
      <c r="N27" s="529"/>
    </row>
    <row r="28" spans="1:14" ht="13.5" thickBot="1">
      <c r="A28" s="18"/>
      <c r="B28" s="216" t="s">
        <v>321</v>
      </c>
      <c r="C28" s="276">
        <f>(C18*C25)+(C19*C26)</f>
        <v>0</v>
      </c>
      <c r="D28" s="217" t="s">
        <v>322</v>
      </c>
      <c r="E28"/>
      <c r="F28" s="194"/>
      <c r="G28" s="15"/>
      <c r="I28" s="203" t="s">
        <v>323</v>
      </c>
      <c r="J28" s="279">
        <f>J22-J26</f>
        <v>-423.81608541250898</v>
      </c>
      <c r="K28" s="205" t="s">
        <v>63</v>
      </c>
      <c r="L28" s="528"/>
      <c r="M28" s="529"/>
      <c r="N28" s="529"/>
    </row>
    <row r="29" spans="1:14" ht="13.5" thickBot="1">
      <c r="B29" s="19"/>
      <c r="G29" s="15"/>
      <c r="I29" s="203" t="s">
        <v>324</v>
      </c>
      <c r="J29" s="279">
        <f>J23+J26</f>
        <v>-873.56277670400596</v>
      </c>
      <c r="K29" s="205" t="s">
        <v>63</v>
      </c>
      <c r="L29" s="528"/>
      <c r="M29" s="529"/>
      <c r="N29" s="529"/>
    </row>
    <row r="30" spans="1:14" ht="13.5" thickBot="1">
      <c r="A30" s="218" t="s">
        <v>325</v>
      </c>
      <c r="B30" s="10"/>
      <c r="C30" s="10"/>
      <c r="D30" s="11"/>
      <c r="G30" s="18"/>
      <c r="H30" s="22"/>
      <c r="I30" s="212" t="s">
        <v>326</v>
      </c>
      <c r="J30" s="280">
        <f>J23-J26</f>
        <v>-1793.562776704006</v>
      </c>
      <c r="K30" s="213" t="s">
        <v>63</v>
      </c>
      <c r="L30" s="528"/>
      <c r="M30" s="529"/>
      <c r="N30" s="529"/>
    </row>
    <row r="31" spans="1:14" ht="13.5" thickBot="1">
      <c r="A31" s="15"/>
      <c r="D31" s="13"/>
      <c r="F31" s="194"/>
    </row>
    <row r="32" spans="1:14" ht="25.5">
      <c r="A32" s="219" t="s">
        <v>327</v>
      </c>
      <c r="B32" s="219" t="s">
        <v>328</v>
      </c>
      <c r="C32" s="10" t="s">
        <v>329</v>
      </c>
      <c r="D32" s="220" t="s">
        <v>330</v>
      </c>
      <c r="E32" s="2" t="s">
        <v>331</v>
      </c>
      <c r="F32" s="194"/>
      <c r="G32" s="197" t="s">
        <v>332</v>
      </c>
      <c r="H32" s="198"/>
      <c r="I32" s="198"/>
      <c r="J32" s="198"/>
      <c r="K32" s="200"/>
    </row>
    <row r="33" spans="1:12" ht="13.5" thickBot="1">
      <c r="A33" s="30" t="s">
        <v>333</v>
      </c>
      <c r="B33" s="30"/>
      <c r="C33" s="22" t="s">
        <v>334</v>
      </c>
      <c r="D33" s="29" t="s">
        <v>335</v>
      </c>
      <c r="E33" s="3" t="s">
        <v>336</v>
      </c>
      <c r="F33" s="194"/>
      <c r="G33" s="516" t="s">
        <v>337</v>
      </c>
      <c r="H33" s="517"/>
      <c r="I33" s="517"/>
      <c r="J33" s="517"/>
      <c r="K33" s="518"/>
    </row>
    <row r="34" spans="1:12">
      <c r="A34" s="68">
        <v>1</v>
      </c>
      <c r="B34" s="11" t="str">
        <f>A61</f>
        <v>Nose Slugs</v>
      </c>
      <c r="C34" s="75">
        <v>0</v>
      </c>
      <c r="D34" s="44">
        <f>C34*C61</f>
        <v>0</v>
      </c>
      <c r="E34" s="298"/>
      <c r="F34" s="194"/>
      <c r="G34" s="519"/>
      <c r="H34" s="443"/>
      <c r="I34" s="443"/>
      <c r="J34" s="443"/>
      <c r="K34" s="520"/>
    </row>
    <row r="35" spans="1:12">
      <c r="A35" s="263">
        <f>IF(Ballast!C17=Constants!A6,1,0)</f>
        <v>0</v>
      </c>
      <c r="B35" s="13" t="str">
        <f>A62</f>
        <v>FWD Plates</v>
      </c>
      <c r="C35" s="75">
        <v>0</v>
      </c>
      <c r="D35" s="45" t="e">
        <f>C62*C35</f>
        <v>#N/A</v>
      </c>
      <c r="E35" s="299"/>
      <c r="F35" s="221" t="str">
        <f t="shared" ref="F35:F47" si="0">IF(ABS(C35)&gt;5000,"Error: Weight adjustment too high","")</f>
        <v/>
      </c>
      <c r="G35" s="513" t="s">
        <v>448</v>
      </c>
      <c r="H35" s="514"/>
      <c r="I35" s="514"/>
      <c r="J35" s="514"/>
      <c r="K35" s="515"/>
    </row>
    <row r="36" spans="1:12">
      <c r="A36" s="69">
        <v>1</v>
      </c>
      <c r="B36" s="13" t="str">
        <f>A63</f>
        <v>FWD Ballast Bottles</v>
      </c>
      <c r="C36" s="75">
        <v>0</v>
      </c>
      <c r="D36" s="45">
        <f>C63*C36</f>
        <v>0</v>
      </c>
      <c r="E36" s="299"/>
      <c r="F36" s="221" t="str">
        <f t="shared" si="0"/>
        <v/>
      </c>
      <c r="G36" s="513" t="s">
        <v>338</v>
      </c>
      <c r="H36" s="514"/>
      <c r="I36" s="514"/>
      <c r="J36" s="514"/>
      <c r="K36" s="515"/>
    </row>
    <row r="37" spans="1:12">
      <c r="A37" s="263">
        <f>IF(Ballast!C21&lt;&gt;"None",1,0)</f>
        <v>1</v>
      </c>
      <c r="B37" s="13" t="str">
        <f>A64</f>
        <v>FWD Secondary Bay Pie Weights</v>
      </c>
      <c r="C37" s="75">
        <v>0</v>
      </c>
      <c r="D37" s="45">
        <f>C64*C37</f>
        <v>0</v>
      </c>
      <c r="E37" s="299"/>
      <c r="F37" s="221" t="str">
        <f t="shared" si="0"/>
        <v/>
      </c>
      <c r="G37" s="15"/>
      <c r="K37" s="13"/>
    </row>
    <row r="38" spans="1:12">
      <c r="A38" s="69">
        <v>1</v>
      </c>
      <c r="B38" s="13" t="str">
        <f>A65</f>
        <v>FWD Primary Pie Weights</v>
      </c>
      <c r="C38" s="75">
        <v>0</v>
      </c>
      <c r="D38" s="45">
        <f>C65*C38</f>
        <v>0</v>
      </c>
      <c r="E38" s="299"/>
      <c r="F38" s="221" t="str">
        <f t="shared" si="0"/>
        <v/>
      </c>
      <c r="G38" s="15"/>
      <c r="H38" s="157"/>
      <c r="I38" s="203" t="s">
        <v>339</v>
      </c>
      <c r="J38" s="288">
        <f>Ballast!D51</f>
        <v>8.9</v>
      </c>
      <c r="K38" s="222" t="s">
        <v>340</v>
      </c>
      <c r="L38" s="291" t="str">
        <f>IF(J38=0,"",IF(J38&lt;4,"Error: weight of pitch battery too low. Re-check",IF(J38&gt;12,"Error: weight of pitch battery too high.  Re-check.","")))</f>
        <v/>
      </c>
    </row>
    <row r="39" spans="1:12">
      <c r="A39" s="75">
        <v>1</v>
      </c>
      <c r="B39" s="417" t="s">
        <v>452</v>
      </c>
      <c r="C39" s="420">
        <v>0</v>
      </c>
      <c r="D39" s="45">
        <f t="shared" ref="D39:D41" si="1">C66*C39</f>
        <v>0</v>
      </c>
      <c r="E39" s="299"/>
      <c r="F39" s="221" t="str">
        <f t="shared" si="0"/>
        <v/>
      </c>
      <c r="G39" s="15"/>
      <c r="H39" s="157"/>
      <c r="I39" s="203" t="s">
        <v>341</v>
      </c>
      <c r="J39" s="84">
        <v>0</v>
      </c>
      <c r="K39" s="222" t="s">
        <v>342</v>
      </c>
      <c r="L39" s="291" t="str">
        <f>IF(ABS(J39&lt;1.25),"","Error: starting pitch too high.  Re-check.")</f>
        <v/>
      </c>
    </row>
    <row r="40" spans="1:12">
      <c r="A40" s="69">
        <v>1</v>
      </c>
      <c r="B40" s="13" t="str">
        <f>A67</f>
        <v>Center</v>
      </c>
      <c r="C40" s="75">
        <v>0</v>
      </c>
      <c r="D40" s="45">
        <f t="shared" si="1"/>
        <v>0</v>
      </c>
      <c r="E40" s="299"/>
      <c r="F40" s="221" t="str">
        <f t="shared" si="0"/>
        <v/>
      </c>
      <c r="G40" s="15"/>
      <c r="H40" s="157"/>
      <c r="I40" s="203" t="s">
        <v>343</v>
      </c>
      <c r="J40" s="84">
        <v>0</v>
      </c>
      <c r="K40" s="222" t="s">
        <v>344</v>
      </c>
      <c r="L40" s="291" t="str">
        <f>IF(ABS(J40)&gt;1.1,"Error, battery position out of range","")</f>
        <v/>
      </c>
    </row>
    <row r="41" spans="1:12">
      <c r="A41" s="75">
        <v>1</v>
      </c>
      <c r="B41" s="417" t="s">
        <v>453</v>
      </c>
      <c r="C41" s="420">
        <v>0</v>
      </c>
      <c r="D41" s="45">
        <f t="shared" si="1"/>
        <v>0</v>
      </c>
      <c r="E41" s="299"/>
      <c r="F41" s="221" t="str">
        <f t="shared" si="0"/>
        <v/>
      </c>
      <c r="G41" s="223"/>
      <c r="H41" s="157"/>
      <c r="I41" s="203" t="s">
        <v>345</v>
      </c>
      <c r="J41" s="84">
        <v>0</v>
      </c>
      <c r="K41" s="222" t="s">
        <v>342</v>
      </c>
      <c r="L41" s="291" t="str">
        <f>IF(ABS(J41&lt;1.25),"","Error: starting pitch too high.  Re-check.")</f>
        <v/>
      </c>
    </row>
    <row r="42" spans="1:12">
      <c r="A42" s="69">
        <v>1</v>
      </c>
      <c r="B42" s="13" t="str">
        <f t="shared" ref="B42:B46" si="2">A69</f>
        <v>Wing Rail Slugs</v>
      </c>
      <c r="C42" s="75">
        <v>0</v>
      </c>
      <c r="D42" s="45">
        <f>C69*C42</f>
        <v>0</v>
      </c>
      <c r="E42" s="299"/>
      <c r="F42" s="221" t="str">
        <f t="shared" si="0"/>
        <v/>
      </c>
      <c r="G42" s="15"/>
      <c r="H42" s="157"/>
      <c r="I42" s="203" t="s">
        <v>346</v>
      </c>
      <c r="J42" s="84">
        <v>0</v>
      </c>
      <c r="K42" s="222" t="s">
        <v>344</v>
      </c>
      <c r="L42" s="291" t="str">
        <f>IF(ABS(J42)&gt;1.1,"Error, battery position out of range","")</f>
        <v/>
      </c>
    </row>
    <row r="43" spans="1:12">
      <c r="A43" s="69">
        <v>1</v>
      </c>
      <c r="B43" s="13" t="str">
        <f t="shared" si="2"/>
        <v>AFT Primary Bay Pie Weights</v>
      </c>
      <c r="C43" s="75">
        <v>0</v>
      </c>
      <c r="D43" s="45">
        <f>C70*C43</f>
        <v>0</v>
      </c>
      <c r="E43" s="299"/>
      <c r="F43" s="221" t="str">
        <f t="shared" si="0"/>
        <v/>
      </c>
      <c r="G43" s="223"/>
      <c r="H43" s="157"/>
      <c r="I43" s="203" t="s">
        <v>347</v>
      </c>
      <c r="J43" s="289" t="e">
        <f>ABS(1000*25.4*(J40-J42)*(J38+0.1)/(Ballast!C36*Ballast!C47*TAN(J39-J41)))</f>
        <v>#DIV/0!</v>
      </c>
      <c r="K43" s="224" t="s">
        <v>348</v>
      </c>
      <c r="L43"/>
    </row>
    <row r="44" spans="1:12">
      <c r="A44" s="69">
        <v>1</v>
      </c>
      <c r="B44" s="13" t="str">
        <f t="shared" si="2"/>
        <v>AFT Cap Pie Weights</v>
      </c>
      <c r="C44" s="75">
        <v>0</v>
      </c>
      <c r="D44" s="45">
        <f>C71*C44</f>
        <v>0</v>
      </c>
      <c r="E44" s="299"/>
      <c r="F44" s="221" t="str">
        <f t="shared" si="0"/>
        <v/>
      </c>
      <c r="G44" s="15"/>
      <c r="H44" s="225"/>
      <c r="I44" s="203" t="s">
        <v>350</v>
      </c>
      <c r="J44" s="85">
        <v>1</v>
      </c>
      <c r="K44" s="222" t="s">
        <v>344</v>
      </c>
      <c r="L44" s="291" t="str">
        <f>IF(J44=1,"","Error: range of pitch battery is usually +/- 1 inch")</f>
        <v/>
      </c>
    </row>
    <row r="45" spans="1:12" ht="13.5" thickBot="1">
      <c r="A45" s="69">
        <v>1</v>
      </c>
      <c r="B45" s="13" t="str">
        <f t="shared" si="2"/>
        <v>AFT Ballast Bottles</v>
      </c>
      <c r="C45" s="75">
        <v>0</v>
      </c>
      <c r="D45" s="45">
        <f>C45*C72</f>
        <v>0</v>
      </c>
      <c r="E45" s="299"/>
      <c r="F45" s="221" t="str">
        <f t="shared" si="0"/>
        <v/>
      </c>
      <c r="G45" s="18"/>
      <c r="H45" s="226"/>
      <c r="I45" s="212" t="s">
        <v>351</v>
      </c>
      <c r="J45" s="290" t="e">
        <f>DEGREES(ATAN((J44*25.4*J38/J20)/J43))</f>
        <v>#DIV/0!</v>
      </c>
      <c r="K45" s="227" t="s">
        <v>352</v>
      </c>
      <c r="L45"/>
    </row>
    <row r="46" spans="1:12" ht="13.5" thickBot="1">
      <c r="A46" s="70">
        <v>1</v>
      </c>
      <c r="B46" s="21" t="str">
        <f t="shared" si="2"/>
        <v xml:space="preserve">Thruster Slugs </v>
      </c>
      <c r="C46" s="76">
        <v>0</v>
      </c>
      <c r="D46" s="46">
        <f>C46*C73</f>
        <v>0</v>
      </c>
      <c r="E46" s="300"/>
      <c r="F46" s="221" t="str">
        <f t="shared" si="0"/>
        <v/>
      </c>
    </row>
    <row r="47" spans="1:12" ht="13.5" thickBot="1">
      <c r="A47" s="18"/>
      <c r="B47" s="22"/>
      <c r="C47" s="276">
        <f>SUM(C34:C46)</f>
        <v>0</v>
      </c>
      <c r="D47" s="284">
        <f>SUMIF(D34:D46,"&lt;&gt;#N/A")</f>
        <v>0</v>
      </c>
      <c r="F47" s="221" t="str">
        <f t="shared" si="0"/>
        <v/>
      </c>
    </row>
    <row r="48" spans="1:12" ht="18" customHeight="1" thickBot="1">
      <c r="C48" s="31"/>
      <c r="D48" s="83"/>
      <c r="F48" s="221"/>
    </row>
    <row r="49" spans="1:6" ht="14.25" hidden="1" customHeight="1" thickBot="1">
      <c r="B49" s="1">
        <f>IF(A34,1,IF(A35,2,IF(A36,3,IF(A37,4,IF(A38,5,IF(A40,6,IF(A42,7,IF(A43,8,IF(A44,9,IF(A45,10,IF(A46,11,"Error")))))))))))</f>
        <v>1</v>
      </c>
      <c r="C49" s="1">
        <f>IF(A46,13,IF(A45,12,IF(A44,11,IF(A43,10,IF(A42,9,IF(A40,7,IF(A38,5,IF(A37,4,IF(A36,3,IF(A35,2,IF(A34,1,"error")))))))))))</f>
        <v>13</v>
      </c>
    </row>
    <row r="50" spans="1:6" ht="14.25" customHeight="1" thickBot="1">
      <c r="A50" s="264" t="s">
        <v>391</v>
      </c>
      <c r="B50" s="265"/>
      <c r="C50" s="265"/>
      <c r="D50" s="265"/>
      <c r="E50" s="266"/>
      <c r="F50" s="232"/>
    </row>
    <row r="51" spans="1:6">
      <c r="A51" s="15"/>
      <c r="B51" s="292">
        <f>ABS((C18+C19-C20)+C47)</f>
        <v>36.183914587503274</v>
      </c>
      <c r="C51" s="534" t="str">
        <f>IF(((C18+C19-C20)+C47)&gt;=0,"Additional grams need to be removed", "Additional grams need to be added")</f>
        <v>Additional grams need to be added</v>
      </c>
      <c r="D51" s="534"/>
      <c r="E51" s="535"/>
      <c r="F51" s="194"/>
    </row>
    <row r="52" spans="1:6">
      <c r="A52" s="15"/>
      <c r="B52" s="293">
        <f>ABS((C28+D47)/(INDEX(C61:C73,IF(A46,11,IF(A45,10,IF(A44,9,IF(A43,8,IF(A42,7,IF(A40,6,IF(A38,5,"error"))))))))-INDEX(C61:C73,IF(A34,1,IF(A35,2,IF(A36,3,IF(A37,4,IF(A5,5,IF(A40,6,IF(A42,7,"Error"))))))))))</f>
        <v>0</v>
      </c>
      <c r="C52" s="536" t="str">
        <f>CONCATENATE("Grams need to move from ",IF((C28+D47)&lt;=0,INDEX(A61:A73,B49,1),INDEX(A61:A73,C49,1))," to ",IF((C28+D47)&lt;=0,INDEX(A61:A73,C49,1),INDEX(A61:A73,B49,1)))</f>
        <v xml:space="preserve">Grams need to move from Nose Slugs to Thruster Slugs </v>
      </c>
      <c r="D52" s="536"/>
      <c r="E52" s="537"/>
      <c r="F52" s="194"/>
    </row>
    <row r="53" spans="1:6">
      <c r="A53" s="15"/>
      <c r="B53" s="293">
        <f>INDEX(C34:C46,IF(A34,1,IF(A35,2,IF(A36,3,IF(A37,4,IF(A570,5,IF(A40,6,IF(A42,7,IF(A43,8,IF(A44,9,IF(A45,10,IF(A46,11,"Error"))))))))))))+(C28+D47)/(INDEX(C61:C73,IF(A46,11,IF(A45,10,IF(A44,9,IF(A43,8,IF(A42,7,IF(A40,6,IF(A38,5,IF(A37,4,IF(A36,3,IF(A35,2,IF(A34,1,"Error"))))))))))))-INDEX(C61:C73,IF(A34,1,IF(A35,2,IF(A36,3,IF(A37,4,IF(A38,5,IF(A40,6,IF(A42,7,IF(A43,8,IF(A44,9,IF(A45,10,IF(A46,11,"Error")))))))))))))</f>
        <v>0</v>
      </c>
      <c r="C53" s="538" t="str">
        <f>CONCATENATE("Change ",INDEX(A61:A73,IF(A34,1,IF(A35,2,IF(A36,3,IF(A37,4,IF(A38,5,IF(A40,6,IF(A42,7,IF(A43,8,IF(A44,9,IF(A45,10,IF(A46,11,"Error"))))))))))),1)," to this:")</f>
        <v>Change Nose Slugs to this:</v>
      </c>
      <c r="D53" s="538"/>
      <c r="E53" s="539"/>
      <c r="F53" s="229" t="s">
        <v>353</v>
      </c>
    </row>
    <row r="54" spans="1:6" ht="13.5" thickBot="1">
      <c r="A54" s="18"/>
      <c r="B54" s="294">
        <f>INDEX(C34:C46,IF(A46,11,IF(A45,10,IF(A44,9,IF(A43,8,IF(A42,7,IF(A40,6,IF(A38,5,IF(A37,4,IF(A36,3,IF(A35,2,IF(A34,1,"Error"))))))))))))-(C28+D47)/(INDEX(C61:C73,IF(A46,11,IF(A45,10,IF(A44,9,IF(A43,8,IF(A42,7,IF(A40,6,IF(A38,5,IF(A37,4,IF(A36,3,IF(A35,2,IF(A34,1,"Error"))))))))))))-INDEX(C61:C73,IF(A34,1,IF(A35,2,IF(A36,3,IF(A37,4,IF(A38,5,IF(A40,6,IF(A42,7,IF(A43,8,IF(A44,9,IF(A45,10,IF(A46,11,"Error")))))))))))))</f>
        <v>0</v>
      </c>
      <c r="C54" s="540" t="str">
        <f>CONCATENATE("Change ",INDEX(A61:A73,IF(A46,13,IF(A45,12,IF(A44,11,IF(A43,10,IF(A42,9,IF(A40,7,IF(A38,5,IF(A37,4,IF(A36,3,IF(A35,2,IF(A34,1,"error"))))))))))),1)," to this:")</f>
        <v>Change Thruster Slugs  to this:</v>
      </c>
      <c r="D54" s="540"/>
      <c r="E54" s="541"/>
      <c r="F54" s="229" t="s">
        <v>354</v>
      </c>
    </row>
    <row r="55" spans="1:6" ht="13.5" thickBot="1"/>
    <row r="56" spans="1:6">
      <c r="A56" s="218" t="s">
        <v>355</v>
      </c>
      <c r="B56" s="10"/>
      <c r="C56" s="10"/>
      <c r="D56" s="11"/>
    </row>
    <row r="57" spans="1:6">
      <c r="A57" s="15"/>
      <c r="B57" s="230" t="s">
        <v>356</v>
      </c>
      <c r="C57" s="301">
        <f>IF(Ballast!C17="G3 Shallow (&lt;=200m)",Constants!D69,IF(Ballast!C17="G3 Deep (1000m)",Constants!D69,"Wrong Glider Selected"))</f>
        <v>32.509924472834506</v>
      </c>
      <c r="D57" s="20"/>
    </row>
    <row r="58" spans="1:6" ht="13.5" thickBot="1">
      <c r="A58" s="15"/>
      <c r="D58" s="13"/>
    </row>
    <row r="59" spans="1:6">
      <c r="A59" s="219" t="s">
        <v>357</v>
      </c>
      <c r="B59" s="219" t="s">
        <v>392</v>
      </c>
      <c r="C59" s="219" t="s">
        <v>359</v>
      </c>
      <c r="D59" s="13"/>
    </row>
    <row r="60" spans="1:6" ht="13.5" thickBot="1">
      <c r="A60" s="30"/>
      <c r="B60" s="30" t="s">
        <v>314</v>
      </c>
      <c r="C60" s="30" t="s">
        <v>314</v>
      </c>
      <c r="D60" s="13"/>
      <c r="E60" s="229" t="s">
        <v>360</v>
      </c>
    </row>
    <row r="61" spans="1:6">
      <c r="A61" s="268" t="s">
        <v>403</v>
      </c>
      <c r="B61" s="55">
        <v>-4.55</v>
      </c>
      <c r="C61" s="52">
        <f t="shared" ref="C61:C73" si="3">B61-C$57</f>
        <v>-37.059924472834503</v>
      </c>
      <c r="D61" s="13"/>
      <c r="E61" s="229" t="s">
        <v>362</v>
      </c>
    </row>
    <row r="62" spans="1:6">
      <c r="A62" s="204" t="s">
        <v>393</v>
      </c>
      <c r="B62" s="50" t="e">
        <f>VLOOKUP(Ballast!C17,Constants!A4:Q8,16,FALSE)</f>
        <v>#N/A</v>
      </c>
      <c r="C62" s="53" t="e">
        <f t="shared" si="3"/>
        <v>#N/A</v>
      </c>
      <c r="D62" s="13"/>
      <c r="E62" s="229" t="s">
        <v>363</v>
      </c>
    </row>
    <row r="63" spans="1:6">
      <c r="A63" s="269" t="s">
        <v>394</v>
      </c>
      <c r="B63" s="56">
        <f>VLOOKUP(Ballast!C17,Constants!A4:Q8,17,FALSE)</f>
        <v>5.75</v>
      </c>
      <c r="C63" s="53">
        <f t="shared" si="3"/>
        <v>-26.759924472834506</v>
      </c>
      <c r="D63" s="13"/>
      <c r="E63" s="229" t="s">
        <v>365</v>
      </c>
    </row>
    <row r="64" spans="1:6" ht="13.5" customHeight="1">
      <c r="A64" s="269" t="s">
        <v>395</v>
      </c>
      <c r="B64" s="50">
        <f>IF(Ballast!C21&lt;&gt;"None",Constants!B65,#N/A)</f>
        <v>19.785620082003149</v>
      </c>
      <c r="C64" s="53">
        <f t="shared" si="3"/>
        <v>-12.724304390831357</v>
      </c>
      <c r="D64" s="13"/>
      <c r="E64" s="229" t="s">
        <v>367</v>
      </c>
    </row>
    <row r="65" spans="1:6">
      <c r="A65" s="269" t="s">
        <v>396</v>
      </c>
      <c r="B65" s="50">
        <f>IF(Ballast!C21&lt;&gt;"None",B64+Constants!B65,Constants!B65)</f>
        <v>39.571240164006298</v>
      </c>
      <c r="C65" s="53">
        <f t="shared" si="3"/>
        <v>7.0613156911717923</v>
      </c>
      <c r="D65" s="13"/>
      <c r="E65" s="229" t="s">
        <v>369</v>
      </c>
    </row>
    <row r="66" spans="1:6">
      <c r="A66" s="269" t="str">
        <f>B39</f>
        <v>Custom Location 1</v>
      </c>
      <c r="B66" s="422"/>
      <c r="C66" s="53">
        <f t="shared" si="3"/>
        <v>-32.509924472834506</v>
      </c>
      <c r="D66" s="13"/>
      <c r="F66" s="194"/>
    </row>
    <row r="67" spans="1:6">
      <c r="A67" s="269" t="s">
        <v>368</v>
      </c>
      <c r="B67" s="50">
        <f>Constants!B69*0.5</f>
        <v>30.708424472834512</v>
      </c>
      <c r="C67" s="53">
        <f t="shared" si="3"/>
        <v>-1.8014999999999937</v>
      </c>
      <c r="D67" s="13"/>
    </row>
    <row r="68" spans="1:6">
      <c r="A68" s="269" t="str">
        <f>B41</f>
        <v>Custom Location 2</v>
      </c>
      <c r="B68" s="422"/>
      <c r="C68" s="53">
        <f t="shared" si="3"/>
        <v>-32.509924472834506</v>
      </c>
      <c r="D68" s="13"/>
    </row>
    <row r="69" spans="1:6">
      <c r="A69" s="269" t="s">
        <v>397</v>
      </c>
      <c r="B69" s="50">
        <f>B65+0.5*Constants!B67</f>
        <v>44.749698753370083</v>
      </c>
      <c r="C69" s="53">
        <f t="shared" si="3"/>
        <v>12.239774280535578</v>
      </c>
      <c r="D69" s="13"/>
    </row>
    <row r="70" spans="1:6">
      <c r="A70" s="269" t="s">
        <v>398</v>
      </c>
      <c r="B70" s="50">
        <f>B65+Constants!B67</f>
        <v>49.928157342733869</v>
      </c>
      <c r="C70" s="53">
        <f t="shared" si="3"/>
        <v>17.418232869899363</v>
      </c>
      <c r="D70" s="13"/>
    </row>
    <row r="71" spans="1:6" ht="14.65" customHeight="1">
      <c r="A71" s="269" t="s">
        <v>404</v>
      </c>
      <c r="B71" s="50">
        <f>B70+Constants!B66</f>
        <v>71.179378912292805</v>
      </c>
      <c r="C71" s="53">
        <f t="shared" si="3"/>
        <v>38.669454439458299</v>
      </c>
      <c r="D71" s="13"/>
    </row>
    <row r="72" spans="1:6" s="234" customFormat="1" ht="13.5" customHeight="1">
      <c r="A72" s="204" t="s">
        <v>399</v>
      </c>
      <c r="B72" s="50">
        <f>B70+0.64+Constants!B66</f>
        <v>71.819378912292805</v>
      </c>
      <c r="C72" s="53">
        <f t="shared" si="3"/>
        <v>39.3094544394583</v>
      </c>
      <c r="D72" s="13"/>
      <c r="E72" s="1"/>
      <c r="F72" s="1"/>
    </row>
    <row r="73" spans="1:6" s="234" customFormat="1" ht="13.9" customHeight="1" thickBot="1">
      <c r="A73" s="270" t="s">
        <v>405</v>
      </c>
      <c r="B73" s="51">
        <f>B71+13.6818</f>
        <v>84.8611789122928</v>
      </c>
      <c r="C73" s="54">
        <f t="shared" si="3"/>
        <v>52.351254439458295</v>
      </c>
      <c r="D73" s="21"/>
      <c r="E73" s="1"/>
      <c r="F73" s="1"/>
    </row>
    <row r="74" spans="1:6" s="234" customFormat="1" ht="15" customHeight="1">
      <c r="A74" s="1"/>
      <c r="B74" s="17"/>
      <c r="C74" s="228"/>
      <c r="D74" s="1"/>
    </row>
    <row r="75" spans="1:6" s="234" customFormat="1" ht="47.25" hidden="1" customHeight="1">
      <c r="A75" s="1"/>
      <c r="B75" s="1"/>
      <c r="C75" s="271">
        <f>13.6818+Constants!B66+Constants!B67+IF(Ballast!C21&lt;&gt;"None",IF(Ballast!C21&lt;&gt;"None",Constants!B65,#N/A)+Constants!B65,Constants!B65)</f>
        <v>84.8611789122928</v>
      </c>
      <c r="D75" s="1"/>
    </row>
    <row r="76" spans="1:6" s="234" customFormat="1" ht="14.45" customHeight="1"/>
    <row r="77" spans="1:6" s="234" customFormat="1" ht="16.149999999999999" customHeight="1">
      <c r="A77" s="124" t="s">
        <v>372</v>
      </c>
      <c r="B77" s="125"/>
      <c r="C77" s="125"/>
      <c r="D77" s="125"/>
    </row>
    <row r="78" spans="1:6" s="234" customFormat="1" ht="33" customHeight="1">
      <c r="A78" s="521" t="s">
        <v>373</v>
      </c>
      <c r="B78" s="525"/>
      <c r="C78" s="525"/>
      <c r="D78" s="525"/>
    </row>
    <row r="79" spans="1:6" ht="43.9" customHeight="1">
      <c r="A79" s="521" t="s">
        <v>374</v>
      </c>
      <c r="B79" s="521"/>
      <c r="C79" s="521"/>
      <c r="D79" s="521"/>
      <c r="E79" s="234"/>
      <c r="F79" s="234"/>
    </row>
    <row r="80" spans="1:6" ht="44.25" customHeight="1">
      <c r="A80" s="521" t="s">
        <v>375</v>
      </c>
      <c r="B80" s="521"/>
      <c r="C80" s="521"/>
      <c r="D80" s="521"/>
      <c r="E80" s="234"/>
      <c r="F80" s="234"/>
    </row>
    <row r="81" spans="1:6" s="243" customFormat="1" ht="57.6" customHeight="1">
      <c r="A81" s="521" t="s">
        <v>406</v>
      </c>
      <c r="B81" s="521"/>
      <c r="C81" s="521"/>
      <c r="D81" s="521"/>
      <c r="E81" s="1"/>
      <c r="F81" s="1"/>
    </row>
    <row r="82" spans="1:6" s="243" customFormat="1" ht="33.6" customHeight="1">
      <c r="A82" s="521" t="s">
        <v>407</v>
      </c>
      <c r="B82" s="521"/>
      <c r="C82" s="521"/>
      <c r="D82" s="521"/>
      <c r="E82" s="1"/>
      <c r="F82" s="1"/>
    </row>
    <row r="83" spans="1:6" s="243" customFormat="1" ht="32.450000000000003" customHeight="1">
      <c r="A83" s="443" t="s">
        <v>378</v>
      </c>
      <c r="B83" s="444"/>
      <c r="C83" s="444"/>
      <c r="D83" s="444"/>
    </row>
    <row r="84" spans="1:6" s="243" customFormat="1" ht="40.15" customHeight="1">
      <c r="A84" s="521" t="s">
        <v>408</v>
      </c>
      <c r="B84" s="521"/>
      <c r="C84" s="521"/>
      <c r="D84" s="521"/>
    </row>
    <row r="85" spans="1:6" s="243" customFormat="1" ht="56.45" customHeight="1">
      <c r="A85" s="443" t="s">
        <v>380</v>
      </c>
      <c r="B85" s="444"/>
      <c r="C85" s="444"/>
      <c r="D85" s="444"/>
      <c r="F85" s="1"/>
    </row>
    <row r="86" spans="1:6" s="243" customFormat="1" ht="56.45" customHeight="1">
      <c r="A86" s="443" t="s">
        <v>381</v>
      </c>
      <c r="B86" s="443"/>
      <c r="C86" s="443"/>
      <c r="D86" s="443"/>
      <c r="F86" s="1"/>
    </row>
    <row r="87" spans="1:6" ht="15" customHeight="1">
      <c r="A87" s="89"/>
      <c r="B87" s="125"/>
      <c r="C87" s="125"/>
      <c r="D87" s="241"/>
      <c r="E87" s="243"/>
    </row>
    <row r="88" spans="1:6">
      <c r="A88" s="125" t="s">
        <v>382</v>
      </c>
      <c r="B88" s="125"/>
      <c r="C88" s="125"/>
      <c r="D88" s="241"/>
      <c r="E88" s="243"/>
    </row>
    <row r="89" spans="1:6">
      <c r="A89" s="243"/>
      <c r="B89" s="243"/>
      <c r="C89" s="243"/>
      <c r="D89" s="243"/>
    </row>
    <row r="90" spans="1:6">
      <c r="A90" s="243"/>
      <c r="B90" s="243"/>
      <c r="C90" s="243"/>
      <c r="D90" s="243"/>
    </row>
  </sheetData>
  <sheetProtection algorithmName="SHA-512" hashValue="mH29ZX2GLwo7d/hT+uGCBldm5XvheQppUz4zdvHLakaGrU2OZSVxDkMISUn05Twhiw9m6N+/Hr3/xQSdY7betA==" saltValue="Ur+2ldMinv1Kj3TO+Ab/2Q==" spinCount="100000" sheet="1" objects="1" scenarios="1"/>
  <mergeCells count="24">
    <mergeCell ref="A82:D82"/>
    <mergeCell ref="L22:N23"/>
    <mergeCell ref="L27:N30"/>
    <mergeCell ref="A78:D78"/>
    <mergeCell ref="A79:D79"/>
    <mergeCell ref="A80:D80"/>
    <mergeCell ref="C53:E53"/>
    <mergeCell ref="C54:E54"/>
    <mergeCell ref="A4:C4"/>
    <mergeCell ref="A85:D85"/>
    <mergeCell ref="A86:D86"/>
    <mergeCell ref="C7:C8"/>
    <mergeCell ref="A10:D13"/>
    <mergeCell ref="A15:D15"/>
    <mergeCell ref="C51:E51"/>
    <mergeCell ref="C52:E52"/>
    <mergeCell ref="E10:K12"/>
    <mergeCell ref="E13:K13"/>
    <mergeCell ref="G33:K34"/>
    <mergeCell ref="G35:K35"/>
    <mergeCell ref="G36:K36"/>
    <mergeCell ref="A83:D83"/>
    <mergeCell ref="A84:D84"/>
    <mergeCell ref="A81:D81"/>
  </mergeCells>
  <conditionalFormatting sqref="B62:B73">
    <cfRule type="cellIs" dxfId="29" priority="16" operator="greaterThan">
      <formula>9999</formula>
    </cfRule>
  </conditionalFormatting>
  <conditionalFormatting sqref="J27">
    <cfRule type="expression" dxfId="28" priority="3">
      <formula>IF(($J$27&lt;100),1,0)</formula>
    </cfRule>
    <cfRule type="expression" dxfId="27" priority="15">
      <formula>IF(($J$27&lt;200),1,0)</formula>
    </cfRule>
  </conditionalFormatting>
  <conditionalFormatting sqref="J28">
    <cfRule type="expression" dxfId="26" priority="14">
      <formula>IF(($J$28&gt;-120),1,0)</formula>
    </cfRule>
  </conditionalFormatting>
  <conditionalFormatting sqref="J29">
    <cfRule type="expression" dxfId="25" priority="13">
      <formula>IF(($J$29&lt;120),1,0)</formula>
    </cfRule>
  </conditionalFormatting>
  <conditionalFormatting sqref="J30">
    <cfRule type="expression" dxfId="24" priority="2">
      <formula>IF(($J$30&gt;-50),1,0)</formula>
    </cfRule>
    <cfRule type="expression" dxfId="23" priority="12">
      <formula>IF(($J$30&gt;-150),1,0)</formula>
    </cfRule>
  </conditionalFormatting>
  <conditionalFormatting sqref="E10:K13">
    <cfRule type="expression" dxfId="22" priority="10">
      <formula>IF(($C$47+$D$47=0),0,1)</formula>
    </cfRule>
  </conditionalFormatting>
  <conditionalFormatting sqref="J43">
    <cfRule type="expression" dxfId="21" priority="9">
      <formula>IF(AND(($J$43&gt;=4),($J$43&lt;=6.5)),1,0)</formula>
    </cfRule>
  </conditionalFormatting>
  <conditionalFormatting sqref="J23">
    <cfRule type="expression" dxfId="20" priority="4">
      <formula>IF((-80&gt;$J$23),1,0)</formula>
    </cfRule>
    <cfRule type="expression" dxfId="19" priority="7">
      <formula>IF(($J$23&gt;150),1,0)</formula>
    </cfRule>
    <cfRule type="expression" dxfId="18" priority="8">
      <formula>IF(($J$23&gt;80),1,0)</formula>
    </cfRule>
  </conditionalFormatting>
  <conditionalFormatting sqref="J22">
    <cfRule type="expression" dxfId="17" priority="5">
      <formula>IF((-150&gt;$J$22),1,0)</formula>
    </cfRule>
    <cfRule type="expression" dxfId="16" priority="6">
      <formula>IF((-10&gt;$J$22),1,0)</formula>
    </cfRule>
  </conditionalFormatting>
  <pageMargins left="0.75" right="0.75" top="1" bottom="1" header="0.5" footer="0.5"/>
  <pageSetup scale="74" orientation="portrait"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470937B7-34AE-4A2E-9D92-2F2C8CF51C56}">
            <xm:f>IF(Ballast!$E$40="Target Tank",1,0)</xm:f>
            <x14:dxf>
              <font>
                <color theme="0"/>
              </font>
              <fill>
                <patternFill patternType="none">
                  <bgColor auto="1"/>
                </patternFill>
              </fill>
            </x14:dxf>
          </x14:cfRule>
          <xm:sqref>G21:K21 G23:K23 G29:K30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L71"/>
  <sheetViews>
    <sheetView zoomScaleNormal="100" workbookViewId="0">
      <selection activeCell="E10" sqref="E10:K12"/>
    </sheetView>
  </sheetViews>
  <sheetFormatPr defaultColWidth="9.28515625" defaultRowHeight="12.75"/>
  <cols>
    <col min="1" max="1" width="31.28515625" style="1" customWidth="1"/>
    <col min="2" max="2" width="28.42578125" style="1" customWidth="1"/>
    <col min="3" max="3" width="23.28515625" style="1" customWidth="1"/>
    <col min="4" max="4" width="14.28515625" style="1" customWidth="1"/>
    <col min="5" max="5" width="22" style="1" customWidth="1"/>
    <col min="6" max="6" width="9.28515625" style="1" customWidth="1"/>
    <col min="7" max="7" width="9.28515625" style="1"/>
    <col min="8" max="8" width="9.28515625" style="1" customWidth="1"/>
    <col min="9" max="16384" width="9.28515625" style="1"/>
  </cols>
  <sheetData>
    <row r="1" spans="1:11" ht="20.25" customHeight="1">
      <c r="D1" s="165" t="s">
        <v>0</v>
      </c>
      <c r="E1" s="320" t="str">
        <f>Ballast!$H$1</f>
        <v>4095-GBPSH</v>
      </c>
    </row>
    <row r="2" spans="1:11" ht="20.25" customHeight="1">
      <c r="D2" s="166" t="s">
        <v>2</v>
      </c>
      <c r="E2" s="321" t="str">
        <f>Ballast!$H$2</f>
        <v>NOC 2.7</v>
      </c>
    </row>
    <row r="3" spans="1:11" ht="20.25" customHeight="1">
      <c r="D3" s="166" t="s">
        <v>3</v>
      </c>
      <c r="E3" s="322">
        <f>Ballast!$H$3</f>
        <v>45618</v>
      </c>
    </row>
    <row r="4" spans="1:11" ht="20.25" customHeight="1" thickBot="1">
      <c r="A4" s="522" t="str">
        <f>IF(Ballast!C17&lt;&gt;"","","Please Select Glider Type in Ballast Sheet")</f>
        <v/>
      </c>
      <c r="B4" s="522"/>
      <c r="C4" s="523"/>
      <c r="D4" s="167" t="s">
        <v>4</v>
      </c>
      <c r="E4" s="323">
        <f>Ballast!$H$4</f>
        <v>12698</v>
      </c>
    </row>
    <row r="5" spans="1:11" ht="15" customHeight="1" thickBot="1"/>
    <row r="6" spans="1:11" ht="6.75" customHeight="1" thickTop="1" thickBot="1">
      <c r="A6" s="9"/>
      <c r="B6" s="9"/>
      <c r="C6" s="9"/>
      <c r="D6" s="9"/>
      <c r="E6" s="9"/>
    </row>
    <row r="7" spans="1:11">
      <c r="A7" s="190" t="s">
        <v>298</v>
      </c>
      <c r="B7" s="191" t="str">
        <f>IF(ISBLANK(Ballast!C14),"",Ballast!C14)</f>
        <v>unit_1104</v>
      </c>
      <c r="C7" s="527" t="str">
        <f>IF(Ballast!C17=Constants!A6,"",IF(Ballast!C17=Constants!A7,"",IF(Ballast!C17=Constants!A8,"","Wrong Generation Glider Selected")))</f>
        <v/>
      </c>
      <c r="F7" s="194"/>
    </row>
    <row r="8" spans="1:11" ht="14.25" customHeight="1" thickBot="1">
      <c r="A8" s="192" t="s">
        <v>3</v>
      </c>
      <c r="B8" s="193" t="str">
        <f>IF(ISBLANK(Ballast!C16),"",Ballast!C16)</f>
        <v>Office</v>
      </c>
      <c r="C8" s="527"/>
      <c r="F8" s="194"/>
    </row>
    <row r="9" spans="1:11" ht="18" customHeight="1">
      <c r="A9" s="260"/>
      <c r="B9" s="260"/>
      <c r="C9" s="260"/>
      <c r="D9" s="260"/>
      <c r="F9" s="194"/>
      <c r="G9" s="259" t="s">
        <v>409</v>
      </c>
      <c r="H9" s="259" t="s">
        <v>410</v>
      </c>
    </row>
    <row r="10" spans="1:11" ht="24.6" customHeight="1">
      <c r="A10" s="543" t="s">
        <v>411</v>
      </c>
      <c r="B10" s="543"/>
      <c r="C10" s="543"/>
      <c r="D10" s="543"/>
      <c r="E10" s="531" t="s">
        <v>8</v>
      </c>
      <c r="F10" s="531"/>
      <c r="G10" s="531"/>
      <c r="H10" s="531"/>
      <c r="I10" s="531"/>
      <c r="J10" s="531"/>
      <c r="K10" s="531"/>
    </row>
    <row r="11" spans="1:11" ht="28.9" customHeight="1">
      <c r="A11" s="543"/>
      <c r="B11" s="543"/>
      <c r="C11" s="543"/>
      <c r="D11" s="543"/>
      <c r="E11" s="531"/>
      <c r="F11" s="531"/>
      <c r="G11" s="531"/>
      <c r="H11" s="531"/>
      <c r="I11" s="531"/>
      <c r="J11" s="531"/>
      <c r="K11" s="531"/>
    </row>
    <row r="12" spans="1:11" ht="29.65" customHeight="1">
      <c r="A12" s="543"/>
      <c r="B12" s="543"/>
      <c r="C12" s="543"/>
      <c r="D12" s="543"/>
      <c r="E12" s="531"/>
      <c r="F12" s="531"/>
      <c r="G12" s="531"/>
      <c r="H12" s="531"/>
      <c r="I12" s="531"/>
      <c r="J12" s="531"/>
      <c r="K12" s="531"/>
    </row>
    <row r="13" spans="1:11" ht="19.899999999999999" customHeight="1">
      <c r="A13" s="543"/>
      <c r="B13" s="543"/>
      <c r="C13" s="543"/>
      <c r="D13" s="543"/>
      <c r="E13" s="532" t="s">
        <v>17</v>
      </c>
      <c r="F13" s="532"/>
      <c r="G13" s="532"/>
      <c r="H13" s="532"/>
      <c r="I13" s="532"/>
      <c r="J13" s="532"/>
      <c r="K13" s="532"/>
    </row>
    <row r="14" spans="1:11" ht="15" customHeight="1">
      <c r="A14" s="260"/>
      <c r="B14" s="260"/>
      <c r="C14" s="260"/>
      <c r="D14" s="260"/>
      <c r="F14" s="194"/>
    </row>
    <row r="15" spans="1:11">
      <c r="A15" s="524" t="s">
        <v>299</v>
      </c>
      <c r="B15" s="524"/>
      <c r="C15" s="524"/>
      <c r="D15" s="524"/>
      <c r="F15" s="194"/>
    </row>
    <row r="16" spans="1:11" ht="13.5" thickBot="1">
      <c r="A16" s="195"/>
      <c r="F16" s="194"/>
      <c r="J16" s="259"/>
      <c r="K16" s="259"/>
    </row>
    <row r="17" spans="1:12">
      <c r="A17" s="196" t="s">
        <v>300</v>
      </c>
      <c r="B17" s="10"/>
      <c r="C17" s="10"/>
      <c r="D17" s="11"/>
      <c r="E17"/>
      <c r="G17" s="197" t="s">
        <v>301</v>
      </c>
      <c r="H17" s="198"/>
      <c r="I17" s="199"/>
      <c r="J17" s="198"/>
      <c r="K17" s="200"/>
    </row>
    <row r="18" spans="1:12">
      <c r="A18" s="12"/>
      <c r="B18" s="201" t="s">
        <v>302</v>
      </c>
      <c r="C18" s="67"/>
      <c r="D18" s="13" t="s">
        <v>63</v>
      </c>
      <c r="E18" s="277" t="str">
        <f>IF(C18&gt;5000,"Error: scale reading too high",IF(C18&lt;0,"Error: scale reading should be positive",""))</f>
        <v/>
      </c>
      <c r="F18" s="14"/>
      <c r="G18" s="202"/>
      <c r="I18" s="203" t="s">
        <v>303</v>
      </c>
      <c r="J18" s="278">
        <f>Ballast!J32*1000</f>
        <v>50000</v>
      </c>
      <c r="K18" s="205" t="s">
        <v>63</v>
      </c>
    </row>
    <row r="19" spans="1:12">
      <c r="A19" s="15"/>
      <c r="B19" s="206" t="s">
        <v>304</v>
      </c>
      <c r="C19" s="67"/>
      <c r="D19" s="13" t="s">
        <v>63</v>
      </c>
      <c r="E19" s="277" t="str">
        <f>IF(C19&gt;5000,"Error: scale reading too high",IF(C19&lt;0,"Error: scale reading should be positive",""))</f>
        <v/>
      </c>
      <c r="G19" s="202"/>
      <c r="I19" s="203" t="s">
        <v>305</v>
      </c>
      <c r="J19" s="273">
        <f>C18+C19</f>
        <v>0</v>
      </c>
      <c r="K19" s="205" t="s">
        <v>63</v>
      </c>
    </row>
    <row r="20" spans="1:12">
      <c r="A20" s="15"/>
      <c r="B20" s="206" t="s">
        <v>306</v>
      </c>
      <c r="C20" s="273">
        <f>Ballast!G48</f>
        <v>36.183914587503274</v>
      </c>
      <c r="D20" s="13" t="s">
        <v>63</v>
      </c>
      <c r="E20"/>
      <c r="G20" s="202"/>
      <c r="I20" s="203" t="s">
        <v>307</v>
      </c>
      <c r="J20" s="278">
        <f>Ballast!C36</f>
        <v>48.822447795905191</v>
      </c>
      <c r="K20" s="205" t="s">
        <v>44</v>
      </c>
    </row>
    <row r="21" spans="1:12">
      <c r="A21" s="16"/>
      <c r="B21" s="207" t="str">
        <f>IF((C18+C19-C20)&gt;0,"Total weight to remove:","Total weight to add:")</f>
        <v>Total weight to add:</v>
      </c>
      <c r="C21" s="274">
        <f>ABS(C18+C19-C20)</f>
        <v>36.183914587503274</v>
      </c>
      <c r="D21" s="208" t="s">
        <v>63</v>
      </c>
      <c r="E21"/>
      <c r="G21" s="202"/>
      <c r="I21" s="203" t="s">
        <v>308</v>
      </c>
      <c r="J21" s="278">
        <f>Ballast!M50</f>
        <v>48.492447795905193</v>
      </c>
      <c r="K21" s="205" t="s">
        <v>44</v>
      </c>
    </row>
    <row r="22" spans="1:12">
      <c r="A22" s="15"/>
      <c r="C22" s="17"/>
      <c r="D22" s="13"/>
      <c r="E22"/>
      <c r="G22" s="202"/>
      <c r="I22" s="203" t="s">
        <v>309</v>
      </c>
      <c r="J22" s="279">
        <f>Ballast!G41+((Ballast!E47/1000)*(J20*1000))-J18</f>
        <v>36.183914587491017</v>
      </c>
      <c r="K22" s="205" t="s">
        <v>63</v>
      </c>
      <c r="L22" s="137" t="s">
        <v>310</v>
      </c>
    </row>
    <row r="23" spans="1:12" ht="13.5" thickBot="1">
      <c r="A23" s="15"/>
      <c r="B23" s="209" t="s">
        <v>311</v>
      </c>
      <c r="C23" s="210" t="s">
        <v>312</v>
      </c>
      <c r="D23" s="13"/>
      <c r="E23"/>
      <c r="F23" s="194"/>
      <c r="G23" s="211"/>
      <c r="H23" s="22"/>
      <c r="I23" s="212" t="s">
        <v>313</v>
      </c>
      <c r="J23" s="280">
        <f>Ballast!M41+((Ballast!K47/1000)*(J21*1000))-J18</f>
        <v>-1333.562776704006</v>
      </c>
      <c r="K23" s="213" t="s">
        <v>63</v>
      </c>
      <c r="L23" s="137" t="s">
        <v>310</v>
      </c>
    </row>
    <row r="24" spans="1:12" ht="13.5" thickBot="1">
      <c r="A24" s="15"/>
      <c r="B24" s="214" t="s">
        <v>314</v>
      </c>
      <c r="C24" s="214" t="s">
        <v>314</v>
      </c>
      <c r="D24" s="13"/>
      <c r="E24"/>
      <c r="F24" s="194"/>
    </row>
    <row r="25" spans="1:12">
      <c r="A25" s="204" t="s">
        <v>389</v>
      </c>
      <c r="B25" s="77">
        <v>30</v>
      </c>
      <c r="C25" s="275">
        <f>(B25/25.4)-$C$52</f>
        <v>-31.32882211062978</v>
      </c>
      <c r="D25" s="13"/>
      <c r="E25" t="str">
        <f>IF(B25&lt;-250,"Error: Check scale position",IF(B25&gt;750, "Error, check scale position",""))</f>
        <v/>
      </c>
      <c r="F25" s="194"/>
      <c r="G25" s="197" t="s">
        <v>316</v>
      </c>
      <c r="H25" s="215"/>
      <c r="I25" s="198"/>
      <c r="J25" s="198"/>
      <c r="K25" s="200"/>
    </row>
    <row r="26" spans="1:12">
      <c r="A26" s="204" t="s">
        <v>390</v>
      </c>
      <c r="B26" s="77">
        <v>1260</v>
      </c>
      <c r="C26" s="275">
        <f>(B26/25.4)-$C$52</f>
        <v>17.096374739763924</v>
      </c>
      <c r="D26" s="13"/>
      <c r="E26" t="str">
        <f>IF(B26&lt;500,"Error: Check scale position",IF(B26&gt;1770, "Error, check scale position",""))</f>
        <v/>
      </c>
      <c r="F26" s="194"/>
      <c r="G26" s="15"/>
      <c r="I26" s="203" t="s">
        <v>318</v>
      </c>
      <c r="J26" s="278">
        <f>VLOOKUP(Ballast!C17,Constants!A1:C8,3,FALSE)</f>
        <v>460</v>
      </c>
      <c r="K26" s="205" t="s">
        <v>319</v>
      </c>
    </row>
    <row r="27" spans="1:12">
      <c r="A27" s="15"/>
      <c r="C27"/>
      <c r="D27" s="13"/>
      <c r="E27"/>
      <c r="F27" s="194"/>
      <c r="G27" s="15"/>
      <c r="I27" s="203" t="s">
        <v>320</v>
      </c>
      <c r="J27" s="279">
        <f>J22+J26</f>
        <v>496.18391458749102</v>
      </c>
      <c r="K27" s="205" t="s">
        <v>63</v>
      </c>
      <c r="L27" s="137" t="s">
        <v>310</v>
      </c>
    </row>
    <row r="28" spans="1:12" ht="13.5" thickBot="1">
      <c r="A28" s="18"/>
      <c r="B28" s="216" t="s">
        <v>321</v>
      </c>
      <c r="C28" s="276">
        <f>(C18*C25)+(C19*C26)</f>
        <v>0</v>
      </c>
      <c r="D28" s="217" t="s">
        <v>322</v>
      </c>
      <c r="E28"/>
      <c r="F28" s="194"/>
      <c r="G28" s="15"/>
      <c r="I28" s="203" t="s">
        <v>323</v>
      </c>
      <c r="J28" s="279">
        <f>J22-J26</f>
        <v>-423.81608541250898</v>
      </c>
      <c r="K28" s="205" t="s">
        <v>63</v>
      </c>
      <c r="L28" s="137" t="s">
        <v>310</v>
      </c>
    </row>
    <row r="29" spans="1:12" ht="13.5" thickBot="1">
      <c r="B29" s="19"/>
      <c r="G29" s="15"/>
      <c r="I29" s="203" t="s">
        <v>324</v>
      </c>
      <c r="J29" s="279">
        <f>J23+J26</f>
        <v>-873.56277670400596</v>
      </c>
      <c r="K29" s="205" t="s">
        <v>63</v>
      </c>
      <c r="L29" s="137" t="s">
        <v>310</v>
      </c>
    </row>
    <row r="30" spans="1:12" ht="13.5" thickBot="1">
      <c r="A30" s="218" t="s">
        <v>325</v>
      </c>
      <c r="B30" s="10"/>
      <c r="C30" s="10"/>
      <c r="D30" s="11"/>
      <c r="G30" s="18"/>
      <c r="H30" s="22"/>
      <c r="I30" s="212" t="s">
        <v>326</v>
      </c>
      <c r="J30" s="280">
        <f>J23-J26</f>
        <v>-1793.562776704006</v>
      </c>
      <c r="K30" s="213" t="s">
        <v>63</v>
      </c>
      <c r="L30" s="137" t="s">
        <v>310</v>
      </c>
    </row>
    <row r="31" spans="1:12" ht="13.5" thickBot="1">
      <c r="A31" s="15"/>
      <c r="D31" s="13"/>
      <c r="F31" s="194"/>
    </row>
    <row r="32" spans="1:12" ht="25.5">
      <c r="A32" s="219" t="s">
        <v>327</v>
      </c>
      <c r="B32" s="219" t="s">
        <v>328</v>
      </c>
      <c r="C32" s="272" t="s">
        <v>412</v>
      </c>
      <c r="D32" s="220" t="s">
        <v>330</v>
      </c>
      <c r="E32" s="2" t="s">
        <v>331</v>
      </c>
      <c r="F32" s="194"/>
      <c r="G32" s="197" t="s">
        <v>332</v>
      </c>
      <c r="H32" s="198"/>
      <c r="I32" s="198"/>
      <c r="J32" s="198"/>
      <c r="K32" s="200"/>
    </row>
    <row r="33" spans="1:12" ht="13.5" thickBot="1">
      <c r="A33" s="30" t="s">
        <v>333</v>
      </c>
      <c r="B33" s="30"/>
      <c r="C33" s="22"/>
      <c r="D33" s="30" t="s">
        <v>335</v>
      </c>
      <c r="E33" s="4" t="s">
        <v>336</v>
      </c>
      <c r="F33" s="194"/>
      <c r="G33" s="516" t="s">
        <v>337</v>
      </c>
      <c r="H33" s="517"/>
      <c r="I33" s="517"/>
      <c r="J33" s="517"/>
      <c r="K33" s="518"/>
    </row>
    <row r="34" spans="1:12">
      <c r="A34" s="68">
        <v>1</v>
      </c>
      <c r="B34" s="11" t="str">
        <f>A56</f>
        <v>External Nose Slug</v>
      </c>
      <c r="C34" s="71">
        <v>0</v>
      </c>
      <c r="D34" s="57">
        <f>C34*12.5*C56</f>
        <v>0</v>
      </c>
      <c r="E34" s="2"/>
      <c r="F34" s="194"/>
      <c r="G34" s="519"/>
      <c r="H34" s="443"/>
      <c r="I34" s="443"/>
      <c r="J34" s="443"/>
      <c r="K34" s="520"/>
    </row>
    <row r="35" spans="1:12">
      <c r="A35" s="69">
        <v>1</v>
      </c>
      <c r="B35" s="13" t="str">
        <f>A57</f>
        <v>External Wing Rail Slugs</v>
      </c>
      <c r="C35" s="69">
        <v>0</v>
      </c>
      <c r="D35" s="45">
        <f>C57*12.5*C35</f>
        <v>0</v>
      </c>
      <c r="E35" s="3"/>
      <c r="F35" s="221" t="str">
        <f t="shared" ref="F35:F37" si="0">IF(ABS(C35)&gt;5000,"Error: Weight adjustment too high","")</f>
        <v/>
      </c>
      <c r="G35" s="513" t="s">
        <v>448</v>
      </c>
      <c r="H35" s="514"/>
      <c r="I35" s="514"/>
      <c r="J35" s="514"/>
      <c r="K35" s="515"/>
    </row>
    <row r="36" spans="1:12" ht="13.5" thickBot="1">
      <c r="A36" s="70">
        <v>1</v>
      </c>
      <c r="B36" s="21" t="str">
        <f>A58</f>
        <v>External Thruster Slugs</v>
      </c>
      <c r="C36" s="70">
        <v>0</v>
      </c>
      <c r="D36" s="46">
        <f>C36*12.5*C58</f>
        <v>0</v>
      </c>
      <c r="E36" s="4"/>
      <c r="F36" s="221" t="str">
        <f t="shared" si="0"/>
        <v/>
      </c>
      <c r="G36" s="513" t="s">
        <v>338</v>
      </c>
      <c r="H36" s="514"/>
      <c r="I36" s="514"/>
      <c r="J36" s="514"/>
      <c r="K36" s="515"/>
    </row>
    <row r="37" spans="1:12" ht="13.5" thickBot="1">
      <c r="A37" s="18"/>
      <c r="B37" s="22"/>
      <c r="C37" s="276">
        <f>SUM(C34:C36)</f>
        <v>0</v>
      </c>
      <c r="D37" s="284">
        <f>SUMIF(D34:D36,"&lt;&gt;#N/A")</f>
        <v>0</v>
      </c>
      <c r="F37" s="221" t="str">
        <f t="shared" si="0"/>
        <v/>
      </c>
      <c r="G37" s="15"/>
      <c r="K37" s="13"/>
    </row>
    <row r="38" spans="1:12">
      <c r="C38" s="31"/>
      <c r="D38" s="83"/>
      <c r="F38" s="221"/>
      <c r="G38" s="15"/>
      <c r="H38" s="157"/>
      <c r="I38" s="203" t="s">
        <v>339</v>
      </c>
      <c r="J38" s="288">
        <f>Ballast!D51</f>
        <v>8.9</v>
      </c>
      <c r="K38" s="222" t="s">
        <v>340</v>
      </c>
      <c r="L38" s="291" t="str">
        <f>IF(J38=0,"",IF(J38&lt;4,"Error: weight of pitch battery too low. Re-check",IF(J38&gt;12,"Error: weight of pitch battery too high.  Re-check.","")))</f>
        <v/>
      </c>
    </row>
    <row r="39" spans="1:12" ht="17.649999999999999" customHeight="1">
      <c r="C39" s="31"/>
      <c r="D39" s="83"/>
      <c r="F39" s="221"/>
      <c r="G39" s="15"/>
      <c r="H39" s="157"/>
      <c r="I39" s="203" t="s">
        <v>341</v>
      </c>
      <c r="J39" s="84">
        <v>0</v>
      </c>
      <c r="K39" s="222" t="s">
        <v>342</v>
      </c>
      <c r="L39" s="291" t="str">
        <f>IF(ABS(J39&lt;1.25),"","Error: starting pitch too high.  Re-check.")</f>
        <v/>
      </c>
    </row>
    <row r="40" spans="1:12" ht="15" customHeight="1">
      <c r="C40" s="31"/>
      <c r="D40" s="83"/>
      <c r="F40" s="221"/>
      <c r="G40" s="15"/>
      <c r="H40" s="157"/>
      <c r="I40" s="203" t="s">
        <v>343</v>
      </c>
      <c r="J40" s="84">
        <v>0</v>
      </c>
      <c r="K40" s="222" t="s">
        <v>344</v>
      </c>
      <c r="L40" s="291" t="str">
        <f>IF(ABS(J40)&gt;1.1,"Error, battery position out of range","")</f>
        <v/>
      </c>
    </row>
    <row r="41" spans="1:12">
      <c r="C41" s="31"/>
      <c r="D41" s="83"/>
      <c r="F41" s="221"/>
      <c r="G41" s="223"/>
      <c r="H41" s="157"/>
      <c r="I41" s="203" t="s">
        <v>345</v>
      </c>
      <c r="J41" s="84">
        <v>0</v>
      </c>
      <c r="K41" s="222" t="s">
        <v>342</v>
      </c>
      <c r="L41" s="291" t="str">
        <f>IF(ABS(J41&lt;1.25),"","Error: starting pitch too high.  Re-check.")</f>
        <v/>
      </c>
    </row>
    <row r="42" spans="1:12">
      <c r="C42" s="31"/>
      <c r="D42" s="83"/>
      <c r="F42" s="221"/>
      <c r="G42" s="15"/>
      <c r="H42" s="157"/>
      <c r="I42" s="203" t="s">
        <v>346</v>
      </c>
      <c r="J42" s="84">
        <v>0</v>
      </c>
      <c r="K42" s="222" t="s">
        <v>344</v>
      </c>
      <c r="L42" s="291" t="str">
        <f>IF(ABS(J42)&gt;1.1,"Error, battery position out of range","")</f>
        <v/>
      </c>
    </row>
    <row r="43" spans="1:12" ht="13.5" thickBot="1">
      <c r="G43" s="223"/>
      <c r="H43" s="157"/>
      <c r="I43" s="203" t="s">
        <v>347</v>
      </c>
      <c r="J43" s="289" t="e">
        <f>ABS(1000*25.4*(J40-J42)*(J38+0.1)/(Ballast!C36*Ballast!C47*TAN(J39-J41)))</f>
        <v>#DIV/0!</v>
      </c>
      <c r="K43" s="224" t="s">
        <v>348</v>
      </c>
      <c r="L43"/>
    </row>
    <row r="44" spans="1:12" ht="13.5" thickBot="1">
      <c r="A44" s="264" t="s">
        <v>391</v>
      </c>
      <c r="B44" s="265"/>
      <c r="C44" s="265"/>
      <c r="D44" s="265"/>
      <c r="E44" s="266"/>
      <c r="F44" s="232"/>
      <c r="G44" s="15"/>
      <c r="H44" s="225"/>
      <c r="I44" s="203" t="s">
        <v>350</v>
      </c>
      <c r="J44" s="85">
        <v>1</v>
      </c>
      <c r="K44" s="222" t="s">
        <v>344</v>
      </c>
      <c r="L44" s="291" t="str">
        <f>IF(J44=1,"","Error: range of pitch battery is usually +/- 1 inch")</f>
        <v/>
      </c>
    </row>
    <row r="45" spans="1:12" ht="13.5" thickBot="1">
      <c r="A45" s="15"/>
      <c r="B45" s="292">
        <f>ROUND(ABS(((C18+C19-C20)/12.5)+C37),0)</f>
        <v>3</v>
      </c>
      <c r="C45" s="534" t="str">
        <f>IF((((C18+C19-C20)/12.5)+C37)&gt;=0,"Additional external slugs need to be removed", "Additional external slugs need to be added")</f>
        <v>Additional external slugs need to be added</v>
      </c>
      <c r="D45" s="534"/>
      <c r="E45" s="535"/>
      <c r="F45" s="194"/>
      <c r="G45" s="18"/>
      <c r="H45" s="226"/>
      <c r="I45" s="212" t="s">
        <v>351</v>
      </c>
      <c r="J45" s="290" t="e">
        <f>DEGREES(ATAN((J44*25.4*J38/J20)/J43))</f>
        <v>#DIV/0!</v>
      </c>
      <c r="K45" s="227" t="s">
        <v>352</v>
      </c>
      <c r="L45"/>
    </row>
    <row r="46" spans="1:12">
      <c r="A46" s="15"/>
      <c r="B46" s="293">
        <f>ROUND(ABS(((C28+D37))/((INDEX(C56:C58,IF(A36,3,IF(A35,2,IF(A34,1,"error")))))-(INDEX(C56:C58,IF(A34,1,IF(A35,2,IF(A36,3,"Error")))))))/12.5,0)</f>
        <v>0</v>
      </c>
      <c r="C46" s="544" t="e">
        <f>CONCATENATE("External slugs need to move from ",IF((C28+D37)&lt;=0,INDEX(A56:A58,H40,1),INDEX(A56:A58,G40,1))," to ",IF((C28+D37)&lt;=0,INDEX(A56:A58,G40,1),INDEX(A56:A58,H40,1)))</f>
        <v>#VALUE!</v>
      </c>
      <c r="D46" s="544"/>
      <c r="E46" s="545"/>
      <c r="F46" s="194"/>
    </row>
    <row r="47" spans="1:12" ht="16.899999999999999" customHeight="1">
      <c r="A47" s="15"/>
      <c r="B47" s="293">
        <f>ROUND((((INDEX(C34:C36,IF(A34,1,IF(A35,2,IF(A36,3,"Error")))))*12.5)+((C28+D37)/(INDEX(C56:C58,IF(A36,3,IF(A35,2,IF(A34,1,"Error"))))-INDEX(C56:C58,IF(A34,1,IF(A35,2,IF(A36,3,"Error")))))))/12.5,0)</f>
        <v>0</v>
      </c>
      <c r="C47" s="538" t="str">
        <f>CONCATENATE("Change ",INDEX(A56:A58,IF(A34,1,IF(A35,2,IF(A36,3,"Error"))),1)," to this:")</f>
        <v>Change External Nose Slug to this:</v>
      </c>
      <c r="D47" s="538"/>
      <c r="E47" s="539"/>
      <c r="F47" s="229" t="s">
        <v>353</v>
      </c>
    </row>
    <row r="48" spans="1:12" ht="13.5" thickBot="1">
      <c r="A48" s="18"/>
      <c r="B48" s="294">
        <f>ROUND(((INDEX(C34:C36,IF(A36,3,IF(A35,2,IF(A34,1,"Error"))))*12.5)-((C28+D37)/(INDEX(C56:C58,IF(A36,3,IF(A35,2,IF(A34,1,"Error"))))-INDEX(C56:C58,IF(A34,1,IF(A35,2,IF(A36,3,"Error")))))))/12.5,0)</f>
        <v>0</v>
      </c>
      <c r="C48" s="540" t="str">
        <f>CONCATENATE("Change ",INDEX(A56:A58,IF(A36,3,IF(A35,2,IF(A34,1,"error"))),1)," to this:")</f>
        <v>Change External Thruster Slugs to this:</v>
      </c>
      <c r="D48" s="540"/>
      <c r="E48" s="541"/>
      <c r="F48" s="229" t="s">
        <v>354</v>
      </c>
    </row>
    <row r="49" spans="1:6">
      <c r="B49" s="293">
        <f>C21-ROUND(C21,0)</f>
        <v>0.18391458750327416</v>
      </c>
      <c r="C49" s="228" t="s">
        <v>413</v>
      </c>
    </row>
    <row r="50" spans="1:6" ht="25.5" customHeight="1" thickBot="1"/>
    <row r="51" spans="1:6" ht="18" customHeight="1">
      <c r="A51" s="218" t="s">
        <v>355</v>
      </c>
      <c r="B51" s="10"/>
      <c r="C51" s="10"/>
      <c r="D51" s="11"/>
    </row>
    <row r="52" spans="1:6" ht="15" customHeight="1">
      <c r="A52" s="15"/>
      <c r="B52" s="230" t="s">
        <v>356</v>
      </c>
      <c r="C52" s="301">
        <f>IF(Ballast!C17="G3 Shallow (&lt;=200m)",Constants!D69,IF(Ballast!C17="G3 Deep (1000m)",Constants!D69,"Wrong Glider Selected"))</f>
        <v>32.509924472834506</v>
      </c>
      <c r="D52" s="20"/>
      <c r="F52" s="194"/>
    </row>
    <row r="53" spans="1:6" ht="15" customHeight="1" thickBot="1">
      <c r="A53" s="15"/>
      <c r="D53" s="13"/>
      <c r="E53" s="229" t="s">
        <v>360</v>
      </c>
    </row>
    <row r="54" spans="1:6" ht="15" customHeight="1">
      <c r="A54" s="219" t="s">
        <v>357</v>
      </c>
      <c r="B54" s="219" t="s">
        <v>392</v>
      </c>
      <c r="C54" s="219" t="s">
        <v>359</v>
      </c>
      <c r="D54" s="13"/>
      <c r="E54" s="229" t="s">
        <v>362</v>
      </c>
    </row>
    <row r="55" spans="1:6" s="234" customFormat="1" ht="15" customHeight="1" thickBot="1">
      <c r="A55" s="30"/>
      <c r="B55" s="30" t="s">
        <v>314</v>
      </c>
      <c r="C55" s="30" t="s">
        <v>314</v>
      </c>
      <c r="D55" s="13"/>
      <c r="E55" s="229" t="s">
        <v>363</v>
      </c>
      <c r="F55" s="1"/>
    </row>
    <row r="56" spans="1:6" s="234" customFormat="1" ht="15" customHeight="1">
      <c r="A56" s="268" t="s">
        <v>414</v>
      </c>
      <c r="B56" s="55">
        <v>-4.55</v>
      </c>
      <c r="C56" s="52">
        <f>B56-C$52</f>
        <v>-37.059924472834503</v>
      </c>
      <c r="D56" s="13"/>
      <c r="E56" s="229" t="s">
        <v>365</v>
      </c>
      <c r="F56" s="1"/>
    </row>
    <row r="57" spans="1:6" s="234" customFormat="1" ht="15" customHeight="1">
      <c r="A57" s="269" t="s">
        <v>415</v>
      </c>
      <c r="B57" s="50">
        <f>IF(Ballast!C21&lt;&gt;"None",IF(Ballast!C21&lt;&gt;"None",Constants!B65,#N/A)+Constants!B65,Constants!B65)+0.5*Constants!B67</f>
        <v>44.749698753370083</v>
      </c>
      <c r="C57" s="53">
        <f>B57-C$52</f>
        <v>12.239774280535578</v>
      </c>
      <c r="D57" s="13"/>
      <c r="E57" s="229" t="s">
        <v>367</v>
      </c>
      <c r="F57" s="1"/>
    </row>
    <row r="58" spans="1:6" s="234" customFormat="1" ht="15" customHeight="1" thickBot="1">
      <c r="A58" s="270" t="s">
        <v>416</v>
      </c>
      <c r="B58" s="51">
        <f>13.6818+Constants!B66+Constants!B67+IF(Ballast!C21&lt;&gt;"None",IF(Ballast!C21&lt;&gt;"None",Constants!B65,#N/A)+Constants!B65,Constants!B65)</f>
        <v>84.8611789122928</v>
      </c>
      <c r="C58" s="54">
        <f>B58-C$52</f>
        <v>52.351254439458295</v>
      </c>
      <c r="D58" s="21"/>
      <c r="E58" s="229" t="s">
        <v>369</v>
      </c>
      <c r="F58" s="1"/>
    </row>
    <row r="59" spans="1:6" s="234" customFormat="1" ht="15" customHeight="1">
      <c r="A59" s="1"/>
      <c r="B59" s="17"/>
      <c r="C59" s="228"/>
      <c r="D59" s="160"/>
      <c r="E59" s="1"/>
      <c r="F59" s="1"/>
    </row>
    <row r="60" spans="1:6" s="234" customFormat="1" ht="15" customHeight="1"/>
    <row r="61" spans="1:6" s="234" customFormat="1" ht="18.75" customHeight="1">
      <c r="A61" s="124" t="s">
        <v>372</v>
      </c>
      <c r="B61" s="125"/>
      <c r="C61" s="125"/>
      <c r="D61" s="125"/>
      <c r="E61" s="1"/>
      <c r="F61" s="194"/>
    </row>
    <row r="62" spans="1:6" ht="36.75" customHeight="1">
      <c r="A62" s="521" t="s">
        <v>373</v>
      </c>
      <c r="B62" s="525"/>
      <c r="C62" s="525"/>
      <c r="D62" s="525"/>
      <c r="F62" s="248"/>
    </row>
    <row r="63" spans="1:6" ht="45" customHeight="1">
      <c r="A63" s="521" t="s">
        <v>374</v>
      </c>
      <c r="B63" s="521"/>
      <c r="C63" s="521"/>
      <c r="D63" s="521"/>
      <c r="F63" s="248"/>
    </row>
    <row r="64" spans="1:6" s="243" customFormat="1" ht="51.75" customHeight="1">
      <c r="A64" s="521" t="s">
        <v>417</v>
      </c>
      <c r="B64" s="521"/>
      <c r="C64" s="521"/>
      <c r="D64" s="521"/>
      <c r="E64" s="1"/>
      <c r="F64" s="248"/>
    </row>
    <row r="65" spans="1:6" s="243" customFormat="1" ht="36.75" customHeight="1">
      <c r="A65" s="521" t="s">
        <v>418</v>
      </c>
      <c r="B65" s="521"/>
      <c r="C65" s="521"/>
      <c r="D65" s="521"/>
      <c r="E65" s="1"/>
      <c r="F65" s="248"/>
    </row>
    <row r="66" spans="1:6" s="243" customFormat="1" ht="42" customHeight="1">
      <c r="A66" s="443" t="s">
        <v>419</v>
      </c>
      <c r="B66" s="444"/>
      <c r="C66" s="444"/>
      <c r="D66" s="444"/>
      <c r="E66" s="1"/>
      <c r="F66" s="248"/>
    </row>
    <row r="67" spans="1:6" s="243" customFormat="1" ht="41.25" customHeight="1">
      <c r="A67" s="521" t="s">
        <v>420</v>
      </c>
      <c r="B67" s="521"/>
      <c r="C67" s="521"/>
      <c r="D67" s="521"/>
      <c r="E67" s="1"/>
      <c r="F67" s="194"/>
    </row>
    <row r="68" spans="1:6" s="243" customFormat="1" ht="41.25" customHeight="1">
      <c r="A68" s="443" t="s">
        <v>421</v>
      </c>
      <c r="B68" s="444"/>
      <c r="C68" s="444"/>
      <c r="D68" s="444"/>
      <c r="E68" s="1"/>
      <c r="F68" s="194"/>
    </row>
    <row r="69" spans="1:6" ht="56.25" customHeight="1">
      <c r="A69" s="443" t="s">
        <v>422</v>
      </c>
      <c r="B69" s="443"/>
      <c r="C69" s="443"/>
      <c r="D69" s="443"/>
      <c r="F69" s="194"/>
    </row>
    <row r="70" spans="1:6">
      <c r="A70" s="89"/>
      <c r="B70" s="125"/>
      <c r="C70" s="125"/>
      <c r="D70" s="241"/>
    </row>
    <row r="71" spans="1:6">
      <c r="A71" s="125" t="s">
        <v>382</v>
      </c>
      <c r="B71" s="125"/>
      <c r="C71" s="125"/>
      <c r="D71" s="241"/>
    </row>
  </sheetData>
  <sheetProtection algorithmName="SHA-512" hashValue="m6qKFzkHNFZeNRRkyE2Wbo1495p/1P4w2ErtqJzLKWJerw+zozLSSWPLSijZjrfAQsCsGmpcuH5Az9OSU7BKNg==" saltValue="0GltK3GGLyA1VgcuxVOpAQ==" spinCount="100000" sheet="1" objects="1" scenarios="1"/>
  <mergeCells count="21">
    <mergeCell ref="E10:K12"/>
    <mergeCell ref="E13:K13"/>
    <mergeCell ref="G33:K34"/>
    <mergeCell ref="G35:K35"/>
    <mergeCell ref="G36:K36"/>
    <mergeCell ref="A4:C4"/>
    <mergeCell ref="A68:D68"/>
    <mergeCell ref="A69:D69"/>
    <mergeCell ref="A66:D66"/>
    <mergeCell ref="A67:D67"/>
    <mergeCell ref="C48:E48"/>
    <mergeCell ref="A62:D62"/>
    <mergeCell ref="A63:D63"/>
    <mergeCell ref="A64:D64"/>
    <mergeCell ref="A65:D65"/>
    <mergeCell ref="C47:E47"/>
    <mergeCell ref="C7:C8"/>
    <mergeCell ref="A10:D13"/>
    <mergeCell ref="A15:D15"/>
    <mergeCell ref="C45:E45"/>
    <mergeCell ref="C46:E46"/>
  </mergeCells>
  <conditionalFormatting sqref="B57:B58">
    <cfRule type="cellIs" dxfId="14" priority="15" operator="greaterThan">
      <formula>9999</formula>
    </cfRule>
  </conditionalFormatting>
  <conditionalFormatting sqref="J30">
    <cfRule type="expression" dxfId="13" priority="2">
      <formula>IF(($J$30&gt;-50),1,0)</formula>
    </cfRule>
    <cfRule type="expression" dxfId="12" priority="11">
      <formula>IF(($J$30&gt;-150),1,0)</formula>
    </cfRule>
  </conditionalFormatting>
  <conditionalFormatting sqref="J27">
    <cfRule type="expression" dxfId="11" priority="3">
      <formula>IF(($J$27&lt;100),1,0)</formula>
    </cfRule>
    <cfRule type="expression" dxfId="10" priority="14">
      <formula>IF(($J$27&lt;200),1,0)</formula>
    </cfRule>
  </conditionalFormatting>
  <conditionalFormatting sqref="J28">
    <cfRule type="expression" dxfId="9" priority="13">
      <formula>IF(($J$28&gt;-120),1,0)</formula>
    </cfRule>
  </conditionalFormatting>
  <conditionalFormatting sqref="J29">
    <cfRule type="expression" dxfId="8" priority="12">
      <formula>IF(($J$29&lt;120),1,0)</formula>
    </cfRule>
  </conditionalFormatting>
  <conditionalFormatting sqref="J43">
    <cfRule type="expression" dxfId="7" priority="9">
      <formula>IF(AND(($J$43&gt;=4),($J$43&lt;=6.5)),1,0)</formula>
    </cfRule>
  </conditionalFormatting>
  <conditionalFormatting sqref="E10:K13">
    <cfRule type="expression" dxfId="6" priority="25">
      <formula>IF(($C$37+$D$37=0),0,1)</formula>
    </cfRule>
  </conditionalFormatting>
  <conditionalFormatting sqref="J23">
    <cfRule type="expression" dxfId="5" priority="4">
      <formula>IF((-80&gt;$J$23),1,0)</formula>
    </cfRule>
    <cfRule type="expression" dxfId="4" priority="7">
      <formula>IF(($J$23&gt;150),1,0)</formula>
    </cfRule>
    <cfRule type="expression" dxfId="3" priority="8">
      <formula>IF(($J$23&gt;80),1,0)</formula>
    </cfRule>
  </conditionalFormatting>
  <conditionalFormatting sqref="J22">
    <cfRule type="expression" dxfId="2" priority="5">
      <formula>IF((-150&gt;$J$22),1,0)</formula>
    </cfRule>
    <cfRule type="expression" dxfId="1" priority="6">
      <formula>IF((-10&gt;$J$22),1,0)</formula>
    </cfRule>
  </conditionalFormatting>
  <pageMargins left="0.75" right="0.75" top="1" bottom="1" header="0.5" footer="0.5"/>
  <pageSetup scale="74" orientation="portrait"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3486D1AC-7CCA-4AE3-A538-01994ACFC9B4}">
            <xm:f>IF(Ballast!$E$40="Target Tank",1,0)</xm:f>
            <x14:dxf>
              <font>
                <color theme="0"/>
              </font>
              <fill>
                <patternFill patternType="none">
                  <bgColor auto="1"/>
                </patternFill>
              </fill>
            </x14:dxf>
          </x14:cfRule>
          <xm:sqref>G21:K21 G23:K23 G29:K30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D18"/>
  <sheetViews>
    <sheetView topLeftCell="A6" workbookViewId="0">
      <selection activeCell="B23" sqref="B23"/>
    </sheetView>
  </sheetViews>
  <sheetFormatPr defaultRowHeight="12.75"/>
  <cols>
    <col min="1" max="1" width="17.28515625" customWidth="1"/>
    <col min="2" max="2" width="67.28515625" customWidth="1"/>
    <col min="3" max="4" width="17.28515625" customWidth="1"/>
  </cols>
  <sheetData>
    <row r="1" spans="1:4" ht="18.75" thickBot="1">
      <c r="A1" s="32" t="s">
        <v>423</v>
      </c>
      <c r="B1" s="32"/>
      <c r="C1" s="33"/>
      <c r="D1" s="33"/>
    </row>
    <row r="2" spans="1:4" ht="15.75">
      <c r="A2" s="34" t="s">
        <v>424</v>
      </c>
      <c r="B2" s="35" t="s">
        <v>425</v>
      </c>
      <c r="C2" s="35" t="s">
        <v>426</v>
      </c>
      <c r="D2" s="36" t="s">
        <v>427</v>
      </c>
    </row>
    <row r="3" spans="1:4" ht="42.75">
      <c r="A3" s="37" t="s">
        <v>428</v>
      </c>
      <c r="B3" s="40" t="s">
        <v>429</v>
      </c>
      <c r="C3" s="38">
        <v>12698</v>
      </c>
      <c r="D3" s="39">
        <v>41813</v>
      </c>
    </row>
    <row r="4" spans="1:4" ht="42.75" customHeight="1">
      <c r="A4" s="37"/>
      <c r="B4" s="40" t="s">
        <v>430</v>
      </c>
      <c r="C4" s="38"/>
      <c r="D4" s="39">
        <v>43301</v>
      </c>
    </row>
    <row r="5" spans="1:4" ht="30.75" customHeight="1">
      <c r="A5" s="37"/>
      <c r="B5" s="40" t="s">
        <v>431</v>
      </c>
      <c r="C5" s="38"/>
      <c r="D5" s="41">
        <v>43304</v>
      </c>
    </row>
    <row r="6" spans="1:4" ht="85.5">
      <c r="A6" s="37" t="s">
        <v>432</v>
      </c>
      <c r="B6" s="40" t="s">
        <v>433</v>
      </c>
      <c r="C6" s="38"/>
      <c r="D6" s="41">
        <v>44566</v>
      </c>
    </row>
    <row r="7" spans="1:4" ht="57">
      <c r="A7" s="37">
        <v>2</v>
      </c>
      <c r="B7" s="40" t="s">
        <v>434</v>
      </c>
      <c r="C7" s="38"/>
      <c r="D7" s="41">
        <v>44567</v>
      </c>
    </row>
    <row r="8" spans="1:4" ht="44.25" customHeight="1">
      <c r="A8" s="37">
        <v>2.1</v>
      </c>
      <c r="B8" s="40" t="s">
        <v>435</v>
      </c>
      <c r="C8" s="38"/>
      <c r="D8" s="41">
        <v>44749</v>
      </c>
    </row>
    <row r="9" spans="1:4" ht="42.75">
      <c r="A9" s="37">
        <v>2.2000000000000002</v>
      </c>
      <c r="B9" s="40" t="s">
        <v>436</v>
      </c>
      <c r="C9" s="38"/>
      <c r="D9" s="41">
        <v>44753</v>
      </c>
    </row>
    <row r="10" spans="1:4" ht="42.75">
      <c r="A10" s="37">
        <v>2.2999999999999998</v>
      </c>
      <c r="B10" s="40" t="s">
        <v>437</v>
      </c>
      <c r="C10" s="38"/>
      <c r="D10" s="41">
        <v>44868</v>
      </c>
    </row>
    <row r="11" spans="1:4" ht="42.75">
      <c r="A11" s="37">
        <v>2.4</v>
      </c>
      <c r="B11" s="40" t="s">
        <v>438</v>
      </c>
      <c r="C11" s="38"/>
      <c r="D11" s="41">
        <v>44869</v>
      </c>
    </row>
    <row r="12" spans="1:4" ht="42.75">
      <c r="A12" s="37">
        <v>2.5</v>
      </c>
      <c r="B12" s="40" t="s">
        <v>439</v>
      </c>
      <c r="C12" s="38"/>
      <c r="D12" s="41">
        <v>45176</v>
      </c>
    </row>
    <row r="13" spans="1:4" ht="42.75">
      <c r="A13" s="37">
        <v>2.6</v>
      </c>
      <c r="B13" s="40" t="s">
        <v>443</v>
      </c>
      <c r="C13" s="38"/>
      <c r="D13" s="41">
        <v>45616</v>
      </c>
    </row>
    <row r="14" spans="1:4" ht="42.75">
      <c r="A14" s="37">
        <v>2.7</v>
      </c>
      <c r="B14" s="40" t="s">
        <v>449</v>
      </c>
      <c r="C14" s="38"/>
      <c r="D14" s="41">
        <v>45618</v>
      </c>
    </row>
    <row r="15" spans="1:4" ht="28.5">
      <c r="A15" s="37">
        <v>2.8</v>
      </c>
      <c r="B15" s="40" t="s">
        <v>454</v>
      </c>
      <c r="C15" s="38"/>
      <c r="D15" s="41">
        <v>45618</v>
      </c>
    </row>
    <row r="16" spans="1:4" ht="28.5">
      <c r="A16" s="37">
        <v>2.9</v>
      </c>
      <c r="B16" s="40" t="s">
        <v>455</v>
      </c>
      <c r="C16" s="38"/>
      <c r="D16" s="41">
        <v>45636</v>
      </c>
    </row>
    <row r="17" spans="1:4" ht="14.25">
      <c r="A17" s="37">
        <v>3</v>
      </c>
      <c r="B17" s="40" t="s">
        <v>457</v>
      </c>
      <c r="C17" s="38"/>
      <c r="D17" s="41">
        <v>45636</v>
      </c>
    </row>
    <row r="18" spans="1:4" ht="14.25">
      <c r="A18" s="37">
        <v>3.1</v>
      </c>
      <c r="B18" s="40" t="s">
        <v>460</v>
      </c>
      <c r="C18" s="38"/>
      <c r="D18" s="41">
        <v>45637</v>
      </c>
    </row>
  </sheetData>
  <pageMargins left="0.7" right="0.7" top="0.75" bottom="0.75" header="0.3" footer="0.3"/>
  <pageSetup scale="77" orientation="portrait"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9740006-a54a-4c9b-b636-2d8e4cc28d55" xsi:nil="true"/>
    <lcf76f155ced4ddcb4097134ff3c332f xmlns="a2159651-9e24-4b3a-b430-143f097d145c">
      <Terms xmlns="http://schemas.microsoft.com/office/infopath/2007/PartnerControls"/>
    </lcf76f155ced4ddcb4097134ff3c332f>
    <Hyperlink xmlns="a2159651-9e24-4b3a-b430-143f097d145c">
      <Url xsi:nil="true"/>
      <Description xsi:nil="true"/>
    </Hyperlink>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C8D84A073997149A3B3DF1230B567EE" ma:contentTypeVersion="22" ma:contentTypeDescription="Create a new document." ma:contentTypeScope="" ma:versionID="9a6247c2fc72353006c64fb4bc064625">
  <xsd:schema xmlns:xsd="http://www.w3.org/2001/XMLSchema" xmlns:xs="http://www.w3.org/2001/XMLSchema" xmlns:p="http://schemas.microsoft.com/office/2006/metadata/properties" xmlns:ns2="f9740006-a54a-4c9b-b636-2d8e4cc28d55" xmlns:ns3="a2159651-9e24-4b3a-b430-143f097d145c" targetNamespace="http://schemas.microsoft.com/office/2006/metadata/properties" ma:root="true" ma:fieldsID="0eb41fcd4053827ae40cf6c5fe8787cf" ns2:_="" ns3:_="">
    <xsd:import namespace="f9740006-a54a-4c9b-b636-2d8e4cc28d55"/>
    <xsd:import namespace="a2159651-9e24-4b3a-b430-143f097d145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Location" minOccurs="0"/>
                <xsd:element ref="ns3:MediaServiceObjectDetectorVersions" minOccurs="0"/>
                <xsd:element ref="ns3:Hyperlink"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9740006-a54a-4c9b-b636-2d8e4cc28d55"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31aeccf2-2658-4394-8e43-c9510a78722c}" ma:internalName="TaxCatchAll" ma:showField="CatchAllData" ma:web="f9740006-a54a-4c9b-b636-2d8e4cc28d5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159651-9e24-4b3a-b430-143f097d145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4103c54-015b-42c7-849f-3ec61878366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Location" ma:index="22" nillable="true" ma:displayName="Location" ma:description="" ma:indexed="true" ma:internalName="MediaServiceLocation" ma:readOnly="true">
      <xsd:simpleType>
        <xsd:restriction base="dms:Text"/>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Hyperlink" ma:index="24" nillable="true" ma:displayName="Hyperlink" ma:format="Hyperlink" ma:internalName="Hyperlink">
      <xsd:complexType>
        <xsd:complexContent>
          <xsd:extension base="dms:URL">
            <xsd:sequence>
              <xsd:element name="Url" type="dms:ValidUrl" minOccurs="0" nillable="true"/>
              <xsd:element name="Description" type="xsd:string" nillable="true"/>
            </xsd:sequence>
          </xsd:extension>
        </xsd:complexContent>
      </xsd:complex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9AF19AF-9757-44BB-87D4-CC94B111B60A}">
  <ds:schemaRefs>
    <ds:schemaRef ds:uri="http://purl.org/dc/dcmitype/"/>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www.w3.org/XML/1998/namespace"/>
    <ds:schemaRef ds:uri="a2159651-9e24-4b3a-b430-143f097d145c"/>
    <ds:schemaRef ds:uri="f9740006-a54a-4c9b-b636-2d8e4cc28d55"/>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A85EF921-E74C-4608-8E45-FEB7222BF3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740006-a54a-4c9b-b636-2d8e4cc28d55"/>
    <ds:schemaRef ds:uri="a2159651-9e24-4b3a-b430-143f097d14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2B650BC-CD44-417B-A092-0DB03DAACFF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Ballast</vt:lpstr>
      <vt:lpstr>DensityCalc</vt:lpstr>
      <vt:lpstr>Constants</vt:lpstr>
      <vt:lpstr>Worksheet</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Picture_1</vt:lpstr>
      <vt:lpstr>Picture_2</vt:lpstr>
      <vt:lpstr>Picture_3</vt:lpstr>
      <vt:lpstr>Picture_4</vt:lpstr>
      <vt:lpstr>Picture_5</vt:lpstr>
      <vt:lpstr>Picture_6</vt:lpstr>
      <vt:lpstr>Picture_7</vt:lpstr>
      <vt:lpstr>Picture_8</vt:lpstr>
      <vt:lpstr>Pinger</vt:lpstr>
      <vt:lpstr>pinger_style</vt:lpstr>
      <vt:lpstr>Pinger_Weights</vt:lpstr>
      <vt:lpstr>pond_weights</vt:lpstr>
      <vt:lpstr>pond_wings</vt:lpstr>
      <vt:lpstr>Ballast!Print_Area</vt:lpstr>
      <vt:lpstr>'G1'!Print_Area</vt:lpstr>
      <vt:lpstr>'G2'!Print_Area</vt:lpstr>
      <vt:lpstr>'G3'!Print_Area</vt:lpstr>
      <vt:lpstr>'G3 (External Only)'!Print_Area</vt:lpstr>
      <vt:lpstr>'Revision History'!Print_Area</vt:lpstr>
      <vt:lpstr>Worksheet!Print_Area</vt:lpstr>
      <vt:lpstr>Ballast!Print_Titles</vt:lpstr>
      <vt:lpstr>Thruster</vt:lpstr>
      <vt:lpstr>Volumes</vt:lpstr>
      <vt:lpstr>'G2'!weight_type</vt:lpstr>
      <vt:lpstr>'G3'!weight_type</vt:lpstr>
      <vt:lpstr>'G3 (External Only)'!weight_type</vt:lpstr>
      <vt:lpstr>weight_type</vt:lpstr>
    </vt:vector>
  </TitlesOfParts>
  <Manager/>
  <Company>Webb Reseach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keywords/>
  <dc:description/>
  <cp:lastModifiedBy>Ollie Twigge</cp:lastModifiedBy>
  <cp:revision/>
  <dcterms:created xsi:type="dcterms:W3CDTF">2004-03-12T20:33:34Z</dcterms:created>
  <dcterms:modified xsi:type="dcterms:W3CDTF">2025-04-17T00:59:08Z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F</vt:lpwstr>
  </property>
  <property fmtid="{D5CDD505-2E9C-101B-9397-08002B2CF9AE}" pid="5" name="Document Number">
    <vt:lpwstr>4095-GBPSH</vt:lpwstr>
  </property>
  <property fmtid="{D5CDD505-2E9C-101B-9397-08002B2CF9AE}" pid="6" name="Date">
    <vt:filetime>2011-02-23T00:00:00Z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2020-10-16T20:35:37Z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1a56ee60-5632-4a08-b0bc-ed29ee6e7f18</vt:lpwstr>
  </property>
  <property fmtid="{D5CDD505-2E9C-101B-9397-08002B2CF9AE}" pid="13" name="MSIP_Label_0d178f3f-9d62-4d87-b8af-200399509a39_ContentBits">
    <vt:lpwstr>2</vt:lpwstr>
  </property>
  <property fmtid="{D5CDD505-2E9C-101B-9397-08002B2CF9AE}" pid="14" name="ContentTypeId">
    <vt:lpwstr>0x010100EC8D84A073997149A3B3DF1230B567EE</vt:lpwstr>
  </property>
  <property fmtid="{D5CDD505-2E9C-101B-9397-08002B2CF9AE}" pid="15" name="MediaServiceImageTags">
    <vt:lpwstr/>
  </property>
</Properties>
</file>