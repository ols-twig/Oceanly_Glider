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defaultThemeVersion="166925"/>
  <mc:AlternateContent xmlns:mc="http://schemas.openxmlformats.org/markup-compatibility/2006">
    <mc:Choice Requires="x15">
      <x15ac:absPath xmlns:x15ac="http://schemas.microsoft.com/office/spreadsheetml/2010/11/ac" url="G:\.shortcut-targets-by-id\1Z7PX__ZLrJ6oL2wHtDtiATh5eAh4Cgg3\Oceanly Science\Instrumentation\Ocean glider\Slocum Training material 2025\"/>
    </mc:Choice>
  </mc:AlternateContent>
  <xr:revisionPtr revIDLastSave="0" documentId="13_ncr:1_{BA677116-32E5-4234-8671-973524ED0C62}" xr6:coauthVersionLast="47" xr6:coauthVersionMax="47" xr10:uidLastSave="{00000000-0000-0000-0000-000000000000}"/>
  <bookViews>
    <workbookView xWindow="-120" yWindow="-120" windowWidth="29040" windowHeight="15720" xr2:uid="{00000000-000D-0000-FFFF-FFFF00000000}"/>
  </bookViews>
  <sheets>
    <sheet name="Checklist" sheetId="1" r:id="rId1"/>
    <sheet name="automation-nation" sheetId="2" r:id="rId2"/>
    <sheet name="Change Log" sheetId="4" r:id="rId3"/>
    <sheet name="constants" sheetId="5" r:id="rId4"/>
  </sheets>
  <definedNames>
    <definedName name="_xlnm._FilterDatabase" localSheetId="3" hidden="1">constants!$A$4:$A$9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2" i="1" l="1"/>
  <c r="G248" i="1"/>
  <c r="G204" i="1"/>
  <c r="G180" i="1"/>
  <c r="G56" i="1"/>
  <c r="G32" i="1"/>
  <c r="M22" i="1" l="1"/>
  <c r="M21" i="1"/>
  <c r="M4" i="5" l="1"/>
  <c r="M5" i="5"/>
  <c r="M6" i="5"/>
  <c r="M7" i="5"/>
  <c r="M8" i="5"/>
  <c r="M9" i="5"/>
  <c r="M10" i="5"/>
  <c r="M11" i="5"/>
  <c r="M12" i="5"/>
  <c r="M13" i="5"/>
  <c r="M14" i="5"/>
  <c r="M15" i="5"/>
  <c r="L15" i="5"/>
  <c r="L14" i="5"/>
  <c r="L13" i="5"/>
  <c r="L12" i="5"/>
  <c r="L11" i="5"/>
  <c r="L10" i="5"/>
  <c r="E27" i="1" l="1"/>
  <c r="L28" i="1"/>
  <c r="L9" i="5" l="1"/>
  <c r="L8" i="5"/>
  <c r="L7" i="5"/>
  <c r="L6" i="5"/>
  <c r="L5" i="5"/>
  <c r="L4" i="5"/>
  <c r="M3" i="5"/>
  <c r="L3" i="5"/>
  <c r="K4" i="5"/>
  <c r="K5" i="5"/>
  <c r="K6" i="5"/>
  <c r="K7" i="5"/>
  <c r="K8" i="5"/>
  <c r="K9" i="5"/>
  <c r="K10" i="5"/>
  <c r="K11" i="5"/>
  <c r="K12" i="5"/>
  <c r="K13" i="5"/>
  <c r="K14" i="5"/>
  <c r="K15" i="5"/>
  <c r="K3" i="5"/>
  <c r="O16" i="1"/>
  <c r="O17" i="1"/>
  <c r="O18" i="1"/>
  <c r="O19" i="1"/>
  <c r="O20" i="1"/>
  <c r="O21" i="1"/>
  <c r="O22" i="1"/>
  <c r="O23" i="1"/>
  <c r="O24" i="1"/>
  <c r="O25" i="1"/>
  <c r="O26" i="1"/>
  <c r="O15" i="1"/>
  <c r="P28" i="1" l="1"/>
  <c r="P18" i="1"/>
  <c r="P22" i="1"/>
  <c r="P26" i="1"/>
  <c r="Q18" i="1"/>
  <c r="Q22" i="1"/>
  <c r="Q26" i="1"/>
  <c r="P19" i="1"/>
  <c r="P23" i="1"/>
  <c r="Q19" i="1"/>
  <c r="P15" i="1"/>
  <c r="P16" i="1"/>
  <c r="P20" i="1"/>
  <c r="P24" i="1"/>
  <c r="Q24" i="1"/>
  <c r="Q28" i="1"/>
  <c r="P27" i="1"/>
  <c r="Q15" i="1"/>
  <c r="Q23" i="1"/>
  <c r="Q20" i="1"/>
  <c r="P25" i="1"/>
  <c r="Q27" i="1"/>
  <c r="P17" i="1"/>
  <c r="Q17" i="1"/>
  <c r="Q21" i="1"/>
  <c r="Q25" i="1"/>
  <c r="Q16" i="1"/>
  <c r="P21" i="1"/>
  <c r="N22" i="1"/>
  <c r="E28" i="1" s="1"/>
  <c r="N16" i="1"/>
  <c r="D167" i="1" l="1"/>
  <c r="F158" i="1"/>
  <c r="F159" i="1"/>
  <c r="F160" i="1"/>
  <c r="F161" i="1"/>
  <c r="F162" i="1"/>
  <c r="F163" i="1"/>
  <c r="F164" i="1"/>
  <c r="F157" i="1"/>
  <c r="F155" i="1" l="1"/>
  <c r="L165" i="1"/>
  <c r="I176" i="1"/>
  <c r="F42" i="5" s="1"/>
  <c r="F176" i="1"/>
  <c r="I175" i="1"/>
  <c r="F41" i="5" s="1"/>
  <c r="F175" i="1"/>
  <c r="I174" i="1"/>
  <c r="F40" i="5" s="1"/>
  <c r="F174" i="1"/>
  <c r="I173" i="1"/>
  <c r="F39" i="5" s="1"/>
  <c r="F173" i="1"/>
  <c r="I172" i="1"/>
  <c r="F38" i="5" s="1"/>
  <c r="F172" i="1"/>
  <c r="I171" i="1"/>
  <c r="F37" i="5" s="1"/>
  <c r="F171" i="1"/>
  <c r="I170" i="1"/>
  <c r="F36" i="5" s="1"/>
  <c r="F170" i="1"/>
  <c r="I169" i="1"/>
  <c r="F35" i="5" s="1"/>
  <c r="G45" i="5" s="1"/>
  <c r="L177" i="1" s="1"/>
  <c r="F169" i="1"/>
  <c r="I164" i="1"/>
  <c r="C42" i="5" s="1"/>
  <c r="I163" i="1"/>
  <c r="C41" i="5" s="1"/>
  <c r="I162" i="1"/>
  <c r="C40" i="5" s="1"/>
  <c r="I161" i="1"/>
  <c r="C39" i="5" s="1"/>
  <c r="I160" i="1"/>
  <c r="C38" i="5" s="1"/>
  <c r="I159" i="1"/>
  <c r="C37" i="5" s="1"/>
  <c r="I158" i="1"/>
  <c r="C36" i="5" s="1"/>
  <c r="I157" i="1"/>
  <c r="C35" i="5" s="1"/>
  <c r="F167" i="1" l="1"/>
  <c r="G152" i="1" s="1"/>
  <c r="C43" i="5"/>
  <c r="F43" i="5"/>
  <c r="F137" i="1"/>
  <c r="G52" i="1"/>
  <c r="G49" i="1"/>
  <c r="G43" i="1"/>
  <c r="I26" i="1" l="1"/>
  <c r="M19" i="1" l="1"/>
  <c r="E84" i="1" l="1"/>
  <c r="E85" i="1" l="1"/>
  <c r="E74" i="1"/>
  <c r="E83" i="1"/>
  <c r="I14" i="1"/>
  <c r="M25" i="1"/>
  <c r="M15" i="1"/>
  <c r="M17" i="1"/>
  <c r="M23" i="1"/>
  <c r="M24" i="1"/>
  <c r="L25" i="1"/>
  <c r="M27" i="1"/>
  <c r="M26" i="1"/>
  <c r="M18" i="1"/>
  <c r="G82" i="1" l="1"/>
  <c r="C20" i="1" l="1"/>
  <c r="E73" i="1" l="1"/>
  <c r="G309" i="1" l="1"/>
  <c r="G42" i="5" l="1"/>
  <c r="G41" i="5"/>
  <c r="G40" i="5"/>
  <c r="G39" i="5"/>
  <c r="G38" i="5"/>
  <c r="G37" i="5"/>
  <c r="G36" i="5"/>
  <c r="G35" i="5"/>
  <c r="D42" i="5"/>
  <c r="D41" i="5"/>
  <c r="D40" i="5"/>
  <c r="D39" i="5"/>
  <c r="D38" i="5"/>
  <c r="D37" i="5"/>
  <c r="D36" i="5"/>
  <c r="D35" i="5" l="1"/>
  <c r="D43" i="5" s="1"/>
  <c r="G43" i="5"/>
  <c r="G321" i="1"/>
  <c r="G304" i="1"/>
  <c r="G292" i="1"/>
  <c r="G282" i="1"/>
  <c r="M16" i="1"/>
  <c r="I25" i="1"/>
  <c r="I24" i="1"/>
  <c r="I23" i="1"/>
  <c r="I22" i="1"/>
  <c r="I21" i="1"/>
  <c r="I20" i="1"/>
  <c r="I19" i="1"/>
  <c r="I18" i="1"/>
  <c r="I17" i="1"/>
  <c r="I16" i="1"/>
  <c r="I15" i="1"/>
  <c r="G57" i="1"/>
  <c r="D45" i="5" l="1"/>
  <c r="G325" i="1"/>
  <c r="G322" i="1"/>
  <c r="G316" i="1"/>
  <c r="C23" i="1" s="1"/>
  <c r="G305" i="1"/>
  <c r="G293" i="1"/>
  <c r="C22" i="1" s="1"/>
  <c r="G288" i="1"/>
  <c r="C21" i="1" s="1"/>
  <c r="G283" i="1"/>
  <c r="G270" i="1"/>
  <c r="G264" i="1"/>
  <c r="G258" i="1"/>
  <c r="G249" i="1"/>
  <c r="G236" i="1"/>
  <c r="G232" i="1"/>
  <c r="G229" i="1"/>
  <c r="G226" i="1"/>
  <c r="G205" i="1"/>
  <c r="G198" i="1"/>
  <c r="G194" i="1"/>
  <c r="G187" i="1"/>
  <c r="G181" i="1"/>
  <c r="G147" i="1"/>
  <c r="E133" i="1"/>
  <c r="E127" i="1"/>
  <c r="E122" i="1"/>
  <c r="E113" i="1"/>
  <c r="E107" i="1"/>
  <c r="F94" i="1"/>
  <c r="G67" i="1"/>
  <c r="G60" i="1"/>
  <c r="G39" i="1"/>
  <c r="G31" i="1"/>
  <c r="G35" i="1"/>
  <c r="C18" i="1" l="1"/>
  <c r="F101" i="1"/>
  <c r="G90" i="1" s="1"/>
  <c r="C15" i="1" s="1"/>
  <c r="C16" i="1"/>
  <c r="C14" i="1"/>
  <c r="G42" i="1"/>
  <c r="C13" i="1"/>
  <c r="C24" i="1"/>
  <c r="C17" i="1"/>
  <c r="E77" i="1"/>
  <c r="E88" i="1"/>
  <c r="E87" i="1"/>
  <c r="C321" i="1"/>
  <c r="C304" i="1"/>
  <c r="C292" i="1"/>
  <c r="C282" i="1"/>
  <c r="C248" i="1"/>
  <c r="C204" i="1"/>
  <c r="D133" i="1"/>
  <c r="D127" i="1"/>
  <c r="D122" i="1"/>
  <c r="D107" i="1"/>
  <c r="C180" i="1"/>
  <c r="C56" i="1"/>
  <c r="C42" i="1"/>
  <c r="C31" i="1"/>
</calcChain>
</file>

<file path=xl/sharedStrings.xml><?xml version="1.0" encoding="utf-8"?>
<sst xmlns="http://schemas.openxmlformats.org/spreadsheetml/2006/main" count="1622" uniqueCount="459">
  <si>
    <t>SOP-Link in grey</t>
  </si>
  <si>
    <t>section name</t>
  </si>
  <si>
    <t>tasks/name</t>
  </si>
  <si>
    <t>task complete</t>
  </si>
  <si>
    <t>section complete</t>
  </si>
  <si>
    <t>date</t>
  </si>
  <si>
    <t>comments</t>
  </si>
  <si>
    <t>Extra1</t>
  </si>
  <si>
    <t>Extra2</t>
  </si>
  <si>
    <t>Extra3</t>
  </si>
  <si>
    <t>Extra4</t>
  </si>
  <si>
    <t>Glider:</t>
  </si>
  <si>
    <t>Current Engineer:</t>
  </si>
  <si>
    <t xml:space="preserve">HOW TO USE: </t>
  </si>
  <si>
    <t xml:space="preserve">Date Started: </t>
  </si>
  <si>
    <t>Indicate which sections are required (Y or N)</t>
  </si>
  <si>
    <t>Deployment Lead personel:</t>
  </si>
  <si>
    <t>Indicate sensor configuration required (Y or N)</t>
  </si>
  <si>
    <t>ADF Number:</t>
  </si>
  <si>
    <t>Fill in config for mission using dropdown</t>
  </si>
  <si>
    <t>Serial Numbers will auto-populate as sheet is completed</t>
  </si>
  <si>
    <t>If you prefer, overwrite cell with red 0 with the SN of component</t>
  </si>
  <si>
    <t>y</t>
  </si>
  <si>
    <t>Outgoing refurb</t>
  </si>
  <si>
    <t>Add the notes for dry weights and such</t>
  </si>
  <si>
    <t>Do the following components need upgrade or replacement</t>
  </si>
  <si>
    <t>Office</t>
  </si>
  <si>
    <t>N</t>
  </si>
  <si>
    <t>Sci Sensors for Mission</t>
  </si>
  <si>
    <t>SN</t>
  </si>
  <si>
    <t>Config for Mission</t>
  </si>
  <si>
    <t>Science Bay Uarts and bits</t>
  </si>
  <si>
    <t>pump service</t>
  </si>
  <si>
    <t>Mid Life Upgrade / Major Component replacement i.e fin</t>
  </si>
  <si>
    <t>SB CT pumped</t>
  </si>
  <si>
    <t>Y</t>
  </si>
  <si>
    <t>G2/G3</t>
  </si>
  <si>
    <t xml:space="preserve">sensor </t>
  </si>
  <si>
    <t>uart</t>
  </si>
  <si>
    <t>bit</t>
  </si>
  <si>
    <t>air-bladder</t>
  </si>
  <si>
    <t>Lab</t>
  </si>
  <si>
    <t>SB CT unpumped</t>
  </si>
  <si>
    <t>Thruster</t>
  </si>
  <si>
    <t>Aft end MCBH or IE55</t>
  </si>
  <si>
    <t>Tank</t>
  </si>
  <si>
    <t>RBR CT</t>
  </si>
  <si>
    <t>Pump</t>
  </si>
  <si>
    <t>digifin</t>
  </si>
  <si>
    <t>Final Seal and FCP</t>
  </si>
  <si>
    <t>WL (type)</t>
  </si>
  <si>
    <t>Altimeter</t>
  </si>
  <si>
    <t>End Cap</t>
  </si>
  <si>
    <t>Prep for shipment and deployment</t>
  </si>
  <si>
    <t>Microrider</t>
  </si>
  <si>
    <t>Science Bay</t>
  </si>
  <si>
    <t>sci bay to MCBH stifener</t>
  </si>
  <si>
    <t>Incoming Refurb</t>
  </si>
  <si>
    <t>Optode</t>
  </si>
  <si>
    <t>Stack on sci bay</t>
  </si>
  <si>
    <t>see noets next to extras</t>
  </si>
  <si>
    <t xml:space="preserve">Office </t>
  </si>
  <si>
    <t>Biospeherical PAR</t>
  </si>
  <si>
    <t>Batteries</t>
  </si>
  <si>
    <t>makecopy and past output for autoexec SNs</t>
  </si>
  <si>
    <t>Inspect External</t>
  </si>
  <si>
    <t>Satlantic PAR</t>
  </si>
  <si>
    <t>Aft</t>
  </si>
  <si>
    <t>make copy and paste section for proglets</t>
  </si>
  <si>
    <t>Data</t>
  </si>
  <si>
    <t>ADCP up</t>
  </si>
  <si>
    <t>Fwd</t>
  </si>
  <si>
    <t>need to make a section for simulations (gneric stuff)</t>
  </si>
  <si>
    <t>Inspect Internal (if opening)</t>
  </si>
  <si>
    <t xml:space="preserve">ADCP down </t>
  </si>
  <si>
    <t>Em</t>
  </si>
  <si>
    <t>Repairs and storage</t>
  </si>
  <si>
    <t>PAM</t>
  </si>
  <si>
    <t>Ext</t>
  </si>
  <si>
    <t>Echosounder</t>
  </si>
  <si>
    <t>Ex. Energy Bay</t>
  </si>
  <si>
    <t>Ballast information</t>
  </si>
  <si>
    <t>Jasco Observer</t>
  </si>
  <si>
    <t>Digifin</t>
  </si>
  <si>
    <t>Fix these when not being done</t>
  </si>
  <si>
    <t>Dry Weight:</t>
  </si>
  <si>
    <t>Aft cap</t>
  </si>
  <si>
    <t>pitch battery weight:</t>
  </si>
  <si>
    <t>NEED TO ADD TO LIST</t>
  </si>
  <si>
    <t>nose cone and recovery system stuff</t>
  </si>
  <si>
    <t>Task Complete</t>
  </si>
  <si>
    <t>Date</t>
  </si>
  <si>
    <t>Comments</t>
  </si>
  <si>
    <t xml:space="preserve">Deployment Documentation (Deployment Lead) </t>
  </si>
  <si>
    <t>n</t>
  </si>
  <si>
    <t>-</t>
  </si>
  <si>
    <t>Have meeting with PI to go over details for mission</t>
  </si>
  <si>
    <t>Paper work collection</t>
  </si>
  <si>
    <t>Create directory with copies of template checklists/SOPs</t>
  </si>
  <si>
    <t>Get all sensor calibration sheets</t>
  </si>
  <si>
    <t>places for confirmation</t>
  </si>
  <si>
    <t>Attach all components to glider on IMS</t>
  </si>
  <si>
    <t>final seal / FCP</t>
  </si>
  <si>
    <t>Ballast</t>
  </si>
  <si>
    <t>Digifin SN-</t>
  </si>
  <si>
    <t>Aft cap SN-</t>
  </si>
  <si>
    <t>Replacing Fin</t>
  </si>
  <si>
    <t>na</t>
  </si>
  <si>
    <t>user input</t>
  </si>
  <si>
    <t>Replacing Air bladder</t>
  </si>
  <si>
    <t>Replacing MCBH or ie55 or power cable</t>
  </si>
  <si>
    <r>
      <t xml:space="preserve">Follow Mid Life Upgrade SOP Aft - </t>
    </r>
    <r>
      <rPr>
        <b/>
        <sz val="11"/>
        <color theme="1"/>
        <rFont val="Calibri"/>
        <family val="2"/>
        <scheme val="minor"/>
      </rPr>
      <t>record SNs in Extras</t>
    </r>
  </si>
  <si>
    <t>Update work history on IMF</t>
  </si>
  <si>
    <t>Sci</t>
  </si>
  <si>
    <t>Follow Mid Life Upgrade SOP Sci</t>
  </si>
  <si>
    <t>Follow Mid Life Upgrade SOP Pump</t>
  </si>
  <si>
    <t>Collect Components and prep SFMC</t>
  </si>
  <si>
    <t>Tot_inflections:</t>
  </si>
  <si>
    <t>Coulmb_total</t>
  </si>
  <si>
    <t>Check for existing faults, num_inflections &amp; coulomb_amphr_total on componentss to be installed</t>
  </si>
  <si>
    <t>Update Code</t>
  </si>
  <si>
    <t>Glider in pico, back-up and format current cards</t>
  </si>
  <si>
    <t>See Update checklist</t>
  </si>
  <si>
    <t>Persistor = 8.5</t>
  </si>
  <si>
    <t>stm32 = 10.6</t>
  </si>
  <si>
    <t>Load previous autoexec, longterm and proglets files, state dirs on card</t>
  </si>
  <si>
    <t>Load vanilla files (config.srf, mbdlist.dat, sbdlist.dat .gbf files)</t>
  </si>
  <si>
    <t>GPS SOP</t>
  </si>
  <si>
    <t xml:space="preserve">Update GPS if required. </t>
  </si>
  <si>
    <t>Auto-exec and config files checklist</t>
  </si>
  <si>
    <t>auto exec SNs</t>
  </si>
  <si>
    <t>installed sensors</t>
  </si>
  <si>
    <t>Autoexec copy and paste sections</t>
  </si>
  <si>
    <r>
      <rPr>
        <sz val="11"/>
        <color rgb="FFFF0000"/>
        <rFont val="Calibri"/>
        <family val="2"/>
        <scheme val="minor"/>
      </rPr>
      <t>Autoexec.mi:</t>
    </r>
    <r>
      <rPr>
        <sz val="11"/>
        <color theme="1"/>
        <rFont val="Calibri"/>
        <family val="2"/>
        <scheme val="minor"/>
      </rPr>
      <t xml:space="preserve"> Confirm SNs are correct, Input SNs in rest of sheet and copy and past output to right</t>
    </r>
  </si>
  <si>
    <t>Please instert SNs in rest of sheet see list in extra 3 -----&gt;</t>
  </si>
  <si>
    <t>SNs</t>
  </si>
  <si>
    <r>
      <rPr>
        <sz val="11"/>
        <color rgb="FFFF0000"/>
        <rFont val="Calibri"/>
        <family val="2"/>
        <scheme val="minor"/>
      </rPr>
      <t>Autoexec.mi</t>
    </r>
    <r>
      <rPr>
        <sz val="11"/>
        <color theme="1"/>
        <rFont val="Calibri"/>
        <family val="2"/>
        <scheme val="minor"/>
      </rPr>
      <t>:  Make sure everything you have on glider is installed</t>
    </r>
  </si>
  <si>
    <t xml:space="preserve">See installed sensors in extra 4 --&gt; </t>
  </si>
  <si>
    <r>
      <rPr>
        <sz val="11"/>
        <color rgb="FFFF0000"/>
        <rFont val="Calibri"/>
        <family val="2"/>
        <scheme val="minor"/>
      </rPr>
      <t>Autoexec.mi</t>
    </r>
    <r>
      <rPr>
        <sz val="11"/>
        <color theme="1"/>
        <rFont val="Calibri"/>
        <family val="2"/>
        <scheme val="minor"/>
      </rPr>
      <t xml:space="preserve">: f_crush_depth </t>
    </r>
  </si>
  <si>
    <r>
      <rPr>
        <sz val="11"/>
        <color rgb="FFFF0000"/>
        <rFont val="Calibri"/>
        <family val="2"/>
        <scheme val="minor"/>
      </rPr>
      <t>Autoexec.mi</t>
    </r>
    <r>
      <rPr>
        <sz val="11"/>
        <color theme="1"/>
        <rFont val="Calibri"/>
        <family val="2"/>
        <scheme val="minor"/>
      </rPr>
      <t>: f_max_working_depth</t>
    </r>
  </si>
  <si>
    <r>
      <rPr>
        <sz val="11"/>
        <color rgb="FFFF0000"/>
        <rFont val="Calibri"/>
        <family val="2"/>
        <scheme val="minor"/>
      </rPr>
      <t>Autoexec.mi</t>
    </r>
    <r>
      <rPr>
        <sz val="11"/>
        <color theme="1"/>
        <rFont val="Calibri"/>
        <family val="2"/>
        <scheme val="minor"/>
      </rPr>
      <t>: f_coulomb_battery_capacity</t>
    </r>
  </si>
  <si>
    <r>
      <rPr>
        <sz val="11"/>
        <color rgb="FFFF0000"/>
        <rFont val="Calibri"/>
        <family val="2"/>
        <scheme val="minor"/>
      </rPr>
      <t>Autoexec.mi</t>
    </r>
    <r>
      <rPr>
        <sz val="11"/>
        <color theme="1"/>
        <rFont val="Calibri"/>
        <family val="2"/>
        <scheme val="minor"/>
      </rPr>
      <t xml:space="preserve">: Confirm primary and secondary phone numbers - </t>
    </r>
    <r>
      <rPr>
        <b/>
        <sz val="11"/>
        <color theme="1"/>
        <rFont val="Calibri"/>
        <family val="2"/>
        <scheme val="minor"/>
      </rPr>
      <t>see Extras</t>
    </r>
  </si>
  <si>
    <t>NOC-88160000583</t>
  </si>
  <si>
    <t>alt-17818711614</t>
  </si>
  <si>
    <r>
      <rPr>
        <sz val="11"/>
        <color rgb="FFFF0000"/>
        <rFont val="Calibri"/>
        <family val="2"/>
        <scheme val="minor"/>
      </rPr>
      <t>Autoexec.mi</t>
    </r>
    <r>
      <rPr>
        <sz val="11"/>
        <color theme="1"/>
        <rFont val="Calibri"/>
        <family val="2"/>
        <scheme val="minor"/>
      </rPr>
      <t>: Any applicable sensor cal values (WL, PAR)</t>
    </r>
  </si>
  <si>
    <r>
      <rPr>
        <sz val="11"/>
        <color rgb="FFFF0000"/>
        <rFont val="Calibri"/>
        <family val="2"/>
        <scheme val="minor"/>
      </rPr>
      <t>Autoexec.mi</t>
    </r>
    <r>
      <rPr>
        <sz val="11"/>
        <color theme="1"/>
        <rFont val="Calibri"/>
        <family val="2"/>
        <scheme val="minor"/>
      </rPr>
      <t>: oxy4_slow_ surface_mode</t>
    </r>
  </si>
  <si>
    <r>
      <rPr>
        <sz val="11"/>
        <color rgb="FFFF0000"/>
        <rFont val="Calibri"/>
        <family val="2"/>
        <scheme val="minor"/>
      </rPr>
      <t>Longterm.sta</t>
    </r>
    <r>
      <rPr>
        <sz val="11"/>
        <color theme="1"/>
        <rFont val="Calibri"/>
        <family val="2"/>
        <scheme val="minor"/>
      </rPr>
      <t>: num_inflections,coulomb_amphour_total if known at this point</t>
    </r>
  </si>
  <si>
    <r>
      <rPr>
        <sz val="11"/>
        <color rgb="FFFF0000"/>
        <rFont val="Calibri"/>
        <family val="2"/>
        <scheme val="minor"/>
      </rPr>
      <t>.dat files:</t>
    </r>
    <r>
      <rPr>
        <sz val="11"/>
        <color theme="1"/>
        <rFont val="Calibri"/>
        <family val="2"/>
        <scheme val="minor"/>
      </rPr>
      <t xml:space="preserve"> Uncomment required sensors based on G2/G3 and config</t>
    </r>
  </si>
  <si>
    <t>Make a backup (autoexec.bak) in flight config directory</t>
  </si>
  <si>
    <t>Pitch-</t>
  </si>
  <si>
    <t xml:space="preserve">Aft- </t>
  </si>
  <si>
    <t xml:space="preserve">EM- </t>
  </si>
  <si>
    <t>Ext-</t>
  </si>
  <si>
    <t>Battery SOP</t>
  </si>
  <si>
    <t>emergency battery needed</t>
  </si>
  <si>
    <r>
      <t xml:space="preserve">Battery Type - </t>
    </r>
    <r>
      <rPr>
        <b/>
        <sz val="11"/>
        <color theme="1"/>
        <rFont val="Calibri"/>
        <family val="2"/>
        <scheme val="minor"/>
      </rPr>
      <t>record SNs in Extras</t>
    </r>
  </si>
  <si>
    <t>harnesses needed for battery to glider connection</t>
  </si>
  <si>
    <t>get weight of pitch battery for ballasting later on</t>
  </si>
  <si>
    <t>weight (g):</t>
  </si>
  <si>
    <r>
      <rPr>
        <sz val="11"/>
        <color rgb="FFFF0000"/>
        <rFont val="Calibri"/>
        <family val="2"/>
        <scheme val="minor"/>
      </rPr>
      <t>Mission.mi:</t>
    </r>
    <r>
      <rPr>
        <sz val="11"/>
        <color theme="1"/>
        <rFont val="Calibri"/>
        <family val="2"/>
        <scheme val="minor"/>
      </rPr>
      <t xml:space="preserve"> edit undervolts</t>
    </r>
  </si>
  <si>
    <r>
      <rPr>
        <sz val="11"/>
        <color rgb="FFFF0000"/>
        <rFont val="Calibri"/>
        <family val="2"/>
        <scheme val="minor"/>
      </rPr>
      <t>Initial.mi:</t>
    </r>
    <r>
      <rPr>
        <sz val="11"/>
        <color theme="1"/>
        <rFont val="Calibri"/>
        <family val="2"/>
        <scheme val="minor"/>
      </rPr>
      <t xml:space="preserve"> copy from deep/shallow vanilla file, edit undervolts</t>
    </r>
  </si>
  <si>
    <r>
      <rPr>
        <sz val="11"/>
        <color rgb="FFFF0000"/>
        <rFont val="Calibri"/>
        <family val="2"/>
        <scheme val="minor"/>
      </rPr>
      <t>Longterm.sta:</t>
    </r>
    <r>
      <rPr>
        <sz val="11"/>
        <color theme="1"/>
        <rFont val="Calibri"/>
        <family val="2"/>
        <scheme val="minor"/>
      </rPr>
      <t xml:space="preserve"> coulomb_amphr_total (for used batteries) - </t>
    </r>
    <r>
      <rPr>
        <b/>
        <sz val="11"/>
        <color theme="1"/>
        <rFont val="Calibri"/>
        <family val="2"/>
        <scheme val="minor"/>
      </rPr>
      <t>record in Comments</t>
    </r>
  </si>
  <si>
    <t>Inspection</t>
  </si>
  <si>
    <t>Check mating surfaces on hull for scratches</t>
  </si>
  <si>
    <t>Check for any non-standard parts/sensors to limit depth rating</t>
  </si>
  <si>
    <t>SN-</t>
  </si>
  <si>
    <t xml:space="preserve">Alt SN- </t>
  </si>
  <si>
    <r>
      <t>Record nose bottle/tube weights on Trim sheet -</t>
    </r>
    <r>
      <rPr>
        <b/>
        <sz val="11"/>
        <color theme="1"/>
        <rFont val="Calibri"/>
        <family val="2"/>
        <scheme val="minor"/>
      </rPr>
      <t xml:space="preserve"> record SN in Extras</t>
    </r>
  </si>
  <si>
    <t>Remove altimeter bracket, clean, inspect and lubricate pump</t>
  </si>
  <si>
    <t>Check altimeter isolation (Mylar tape) is installed</t>
  </si>
  <si>
    <t>Check condition (corrosion, cables, connectors)</t>
  </si>
  <si>
    <t>Check desiccant installed, replace if necessary (does not need to be new for ballast)</t>
  </si>
  <si>
    <t>Check Anode, replace if necessary</t>
  </si>
  <si>
    <t>Payload Bays</t>
  </si>
  <si>
    <t>Science Bay SN-</t>
  </si>
  <si>
    <t>Stack on Bay SN-</t>
  </si>
  <si>
    <t>Record wing rail/pie weights on Trim sheet (including any extended/add-on bays)</t>
  </si>
  <si>
    <t>Check wiring</t>
  </si>
  <si>
    <t>Configure proglets.dat to reflect uarts and pwr bits for sensors</t>
  </si>
  <si>
    <t>UART-</t>
  </si>
  <si>
    <t>PWR-</t>
  </si>
  <si>
    <r>
      <t xml:space="preserve">Check operation once glider assembled (u4stalk) </t>
    </r>
    <r>
      <rPr>
        <b/>
        <sz val="11"/>
        <color theme="1"/>
        <rFont val="Calibri"/>
        <family val="2"/>
        <scheme val="minor"/>
      </rPr>
      <t>- record SN/pwr bit/uart in Extras</t>
    </r>
  </si>
  <si>
    <t>ensure sensor uncommented on tbdlist.dat</t>
  </si>
  <si>
    <t>Check Conductivity in air is within 2Hz of calibration sheet</t>
  </si>
  <si>
    <t>MicroRider</t>
  </si>
  <si>
    <t>Make DATA# directories for every week in the glider mission</t>
  </si>
  <si>
    <t>make setup#.cfg for every week in mission coresponding to DATA# dir</t>
  </si>
  <si>
    <t>Make sure card on glider is emtpy od dat_ files before deployment</t>
  </si>
  <si>
    <t>Save SETUP.CFG to refurb report</t>
  </si>
  <si>
    <t>make sure you have all the urider.cfg glider files to be sent during mission made</t>
  </si>
  <si>
    <t>Check configuration (decimal format enabled, text disabled etc.)</t>
  </si>
  <si>
    <t>u4stalk into sensor are check that the SN matchs that onstalled</t>
  </si>
  <si>
    <t>u4stalk into sensors and ensure the satpar outputs data within 15 seconds</t>
  </si>
  <si>
    <t>Re-centre Fin SOP</t>
  </si>
  <si>
    <t>re-grease and Re-centre Fin (radeon fin)</t>
  </si>
  <si>
    <t>Change inline vacuum filter</t>
  </si>
  <si>
    <t>Check condition (corrosion, cables, connectors, air bladder)</t>
  </si>
  <si>
    <t>is the strobe operating correctly?</t>
  </si>
  <si>
    <t>Record aft bottle weights on Trim sheet</t>
  </si>
  <si>
    <t>Check wiring, are all cables connected into aft board in correct location?</t>
  </si>
  <si>
    <r>
      <t xml:space="preserve">Label Freewave number externally </t>
    </r>
    <r>
      <rPr>
        <b/>
        <sz val="11"/>
        <color theme="1"/>
        <rFont val="Calibri"/>
        <family val="2"/>
        <scheme val="minor"/>
      </rPr>
      <t>AND Ensure slave number is written in remarks on IMF</t>
    </r>
  </si>
  <si>
    <t>Indoor FCP</t>
  </si>
  <si>
    <t>dry weight:</t>
  </si>
  <si>
    <t>Using a ballast worksheet of similar glider, pre place weight in glider in appropriate locations</t>
  </si>
  <si>
    <t>Run indoor Section of pre-ballast FCP</t>
  </si>
  <si>
    <t>lab seal</t>
  </si>
  <si>
    <r>
      <t xml:space="preserve">Record dry weight on Trim sheet - </t>
    </r>
    <r>
      <rPr>
        <b/>
        <sz val="11"/>
        <color theme="1"/>
        <rFont val="Calibri"/>
        <family val="2"/>
        <scheme val="minor"/>
      </rPr>
      <t>and in Extras</t>
    </r>
  </si>
  <si>
    <t>Outdoor FCP and compass checks</t>
  </si>
  <si>
    <t>Outdoor section of Pre-ballast FCP</t>
  </si>
  <si>
    <t>Run a compas check at appropriate place in that FCP</t>
  </si>
  <si>
    <t>Compass Check</t>
  </si>
  <si>
    <t>Enter heading in radians if compass check is required</t>
  </si>
  <si>
    <t>Radians</t>
  </si>
  <si>
    <t>Calculated (degrees)</t>
  </si>
  <si>
    <r>
      <t>Reported heading at 0</t>
    </r>
    <r>
      <rPr>
        <sz val="11"/>
        <color theme="1"/>
        <rFont val="Calibri"/>
        <family val="2"/>
      </rPr>
      <t>°</t>
    </r>
  </si>
  <si>
    <r>
      <t>Reported heading at 45</t>
    </r>
    <r>
      <rPr>
        <sz val="11"/>
        <color theme="1"/>
        <rFont val="Calibri"/>
        <family val="2"/>
      </rPr>
      <t>°</t>
    </r>
  </si>
  <si>
    <r>
      <t>Reported heading at 90</t>
    </r>
    <r>
      <rPr>
        <sz val="11"/>
        <color theme="1"/>
        <rFont val="Calibri"/>
        <family val="2"/>
      </rPr>
      <t>°</t>
    </r>
  </si>
  <si>
    <r>
      <t>Reported heading at 135</t>
    </r>
    <r>
      <rPr>
        <sz val="11"/>
        <color theme="1"/>
        <rFont val="Calibri"/>
        <family val="2"/>
      </rPr>
      <t>°</t>
    </r>
  </si>
  <si>
    <r>
      <t>Reported heading at 180</t>
    </r>
    <r>
      <rPr>
        <sz val="11"/>
        <color theme="1"/>
        <rFont val="Calibri"/>
        <family val="2"/>
      </rPr>
      <t>°</t>
    </r>
  </si>
  <si>
    <r>
      <t>Reported heading at 225</t>
    </r>
    <r>
      <rPr>
        <sz val="11"/>
        <color theme="1"/>
        <rFont val="Calibri"/>
        <family val="2"/>
      </rPr>
      <t>°</t>
    </r>
  </si>
  <si>
    <r>
      <t>Reported heading at 270</t>
    </r>
    <r>
      <rPr>
        <sz val="11"/>
        <color theme="1"/>
        <rFont val="Calibri"/>
        <family val="2"/>
      </rPr>
      <t>°</t>
    </r>
  </si>
  <si>
    <r>
      <t>Reported heading at 315</t>
    </r>
    <r>
      <rPr>
        <sz val="11"/>
        <color theme="1"/>
        <rFont val="Calibri"/>
        <family val="2"/>
      </rPr>
      <t>°</t>
    </r>
  </si>
  <si>
    <t>Compass check complete?</t>
  </si>
  <si>
    <t>Max Error (degrees):</t>
  </si>
  <si>
    <t>Does the compass pass compass check? Is the differnce &gt; 10 deg If it does not pass: have you completed the compass calibration?</t>
  </si>
  <si>
    <t>Calibrate compass if required, then repeat compass check</t>
  </si>
  <si>
    <t>N/A</t>
  </si>
  <si>
    <t>Post-cal compass check complete?</t>
  </si>
  <si>
    <t xml:space="preserve">Have separate technitian confirm the above section is complete: </t>
  </si>
  <si>
    <t>NOT confirmed</t>
  </si>
  <si>
    <t>Name of confirming tech:</t>
  </si>
  <si>
    <t>Initial ballast/ballast for tank</t>
  </si>
  <si>
    <t>Create Trim sheet 'TANK'</t>
  </si>
  <si>
    <t>Input tank and target T &amp; S</t>
  </si>
  <si>
    <t>target T:</t>
  </si>
  <si>
    <t>Target S:</t>
  </si>
  <si>
    <t>Follow Trim sheet instructions to ballast the glider for tank (iteration 1)</t>
  </si>
  <si>
    <t>Follow Trim sheet instructions to measure H-moment (once approx neutral in tank)</t>
  </si>
  <si>
    <t>Follow Trim sheet instructions to record weight changes</t>
  </si>
  <si>
    <t>Sensor checks</t>
  </si>
  <si>
    <t>send sbd and tbd to confirm tbdlist and sbdlist functional</t>
  </si>
  <si>
    <t>send mbd and nbd to confirm m/nbdlist.dat functionality</t>
  </si>
  <si>
    <t xml:space="preserve">send *.* </t>
  </si>
  <si>
    <t>Check Altimeter is reporting back actual data</t>
  </si>
  <si>
    <t>Science Checks in tank</t>
  </si>
  <si>
    <t>Final ballast/ballast for target</t>
  </si>
  <si>
    <t>Follow Trim sheet instructions to ballast the glider roughly (iteration 2+)</t>
  </si>
  <si>
    <t>Record new pie/bottle/wing rail weight configuration on Trim sheet</t>
  </si>
  <si>
    <t>Confirm dry weight total reflects all changes made during ballasting</t>
  </si>
  <si>
    <t>Clean, rinse</t>
  </si>
  <si>
    <t>Rinse glider</t>
  </si>
  <si>
    <t>Check Trim sheet values for errors, compare to another recent ballasting</t>
  </si>
  <si>
    <t>Create Trim sheet 'OCEAN'</t>
  </si>
  <si>
    <r>
      <rPr>
        <b/>
        <u/>
        <sz val="11"/>
        <color theme="1"/>
        <rFont val="Calibri"/>
        <family val="2"/>
        <scheme val="minor"/>
      </rPr>
      <t>Last Open Inspection</t>
    </r>
    <r>
      <rPr>
        <b/>
        <sz val="11"/>
        <color theme="1"/>
        <rFont val="Calibri"/>
        <family val="2"/>
        <scheme val="minor"/>
      </rPr>
      <t xml:space="preserve"> &amp; </t>
    </r>
    <r>
      <rPr>
        <b/>
        <u/>
        <sz val="11"/>
        <color theme="1"/>
        <rFont val="Calibri"/>
        <family val="2"/>
        <scheme val="minor"/>
      </rPr>
      <t>Seal and Clean</t>
    </r>
  </si>
  <si>
    <t>Open full glider, so there is a shell of a glider on bench, no hulls or batteries</t>
  </si>
  <si>
    <t>Replace Desicant in location, note location in comments please</t>
  </si>
  <si>
    <t>NOTE: G2 o-rings are single seal, G3 o-rings are double seal</t>
  </si>
  <si>
    <r>
      <rPr>
        <sz val="11"/>
        <color rgb="FFFF0000"/>
        <rFont val="Calibri"/>
        <family val="2"/>
        <scheme val="minor"/>
      </rPr>
      <t>PUMP:</t>
    </r>
    <r>
      <rPr>
        <sz val="11"/>
        <color theme="1"/>
        <rFont val="Calibri"/>
        <family val="2"/>
        <scheme val="minor"/>
      </rPr>
      <t xml:space="preserve"> Check wiring on pump, double check weights are recorded</t>
    </r>
  </si>
  <si>
    <r>
      <rPr>
        <sz val="11"/>
        <color rgb="FFFF0000"/>
        <rFont val="Calibri"/>
        <family val="2"/>
        <scheme val="minor"/>
      </rPr>
      <t>PUMP:</t>
    </r>
    <r>
      <rPr>
        <sz val="11"/>
        <color theme="1"/>
        <rFont val="Calibri"/>
        <family val="2"/>
        <scheme val="minor"/>
      </rPr>
      <t xml:space="preserve"> Clean pitch motor threaded rod and re grease, clean pitch motor threaded insert</t>
    </r>
  </si>
  <si>
    <r>
      <rPr>
        <sz val="11"/>
        <color rgb="FFFF0000"/>
        <rFont val="Calibri"/>
        <family val="2"/>
        <scheme val="minor"/>
      </rPr>
      <t>PUMP:</t>
    </r>
    <r>
      <rPr>
        <sz val="11"/>
        <color theme="1"/>
        <rFont val="Calibri"/>
        <family val="2"/>
        <scheme val="minor"/>
      </rPr>
      <t xml:space="preserve"> clean o-ring seat and replace o-ring</t>
    </r>
  </si>
  <si>
    <r>
      <rPr>
        <sz val="11"/>
        <color rgb="FFFF0000"/>
        <rFont val="Calibri"/>
        <family val="2"/>
        <scheme val="minor"/>
      </rPr>
      <t>FWD HULL</t>
    </r>
    <r>
      <rPr>
        <sz val="11"/>
        <color theme="1"/>
        <rFont val="Calibri"/>
        <family val="2"/>
        <scheme val="minor"/>
      </rPr>
      <t>: check for sctraches on fwd hull and sand down if nessisary</t>
    </r>
  </si>
  <si>
    <r>
      <rPr>
        <sz val="11"/>
        <color rgb="FFFF0000"/>
        <rFont val="Calibri"/>
        <family val="2"/>
        <scheme val="minor"/>
      </rPr>
      <t>FWD HULL:</t>
    </r>
    <r>
      <rPr>
        <sz val="11"/>
        <color theme="1"/>
        <rFont val="Calibri"/>
        <family val="2"/>
        <scheme val="minor"/>
      </rPr>
      <t xml:space="preserve"> clean and grease seats and fit to pump</t>
    </r>
  </si>
  <si>
    <r>
      <rPr>
        <sz val="11"/>
        <color rgb="FFFF0000"/>
        <rFont val="Calibri"/>
        <family val="2"/>
        <scheme val="minor"/>
      </rPr>
      <t>FWD HULL:</t>
    </r>
    <r>
      <rPr>
        <sz val="11"/>
        <color theme="1"/>
        <rFont val="Calibri"/>
        <family val="2"/>
        <scheme val="minor"/>
      </rPr>
      <t xml:space="preserve"> Thread lock battery and install battery, tighten to just more then hand tight</t>
    </r>
  </si>
  <si>
    <t>Thred lock 345</t>
  </si>
  <si>
    <r>
      <rPr>
        <sz val="11"/>
        <color rgb="FFFF0000"/>
        <rFont val="Calibri"/>
        <family val="2"/>
        <scheme val="minor"/>
      </rPr>
      <t>AFT:</t>
    </r>
    <r>
      <rPr>
        <sz val="11"/>
        <color theme="1"/>
        <rFont val="Calibri"/>
        <family val="2"/>
        <scheme val="minor"/>
      </rPr>
      <t xml:space="preserve"> Replace inline valve on air pump tubing</t>
    </r>
  </si>
  <si>
    <r>
      <rPr>
        <sz val="11"/>
        <color rgb="FFFF0000"/>
        <rFont val="Calibri"/>
        <family val="2"/>
        <scheme val="minor"/>
      </rPr>
      <t>AFT:</t>
    </r>
    <r>
      <rPr>
        <sz val="11"/>
        <color theme="1"/>
        <rFont val="Calibri"/>
        <family val="2"/>
        <scheme val="minor"/>
      </rPr>
      <t xml:space="preserve"> Check wiring and make sure everything looks like its in place, no faulty connectors</t>
    </r>
  </si>
  <si>
    <r>
      <rPr>
        <sz val="11"/>
        <color rgb="FFFF0000"/>
        <rFont val="Calibri"/>
        <family val="2"/>
        <scheme val="minor"/>
      </rPr>
      <t>AFT</t>
    </r>
    <r>
      <rPr>
        <sz val="11"/>
        <color theme="1"/>
        <rFont val="Calibri"/>
        <family val="2"/>
        <scheme val="minor"/>
      </rPr>
      <t>: replace o-ring</t>
    </r>
  </si>
  <si>
    <r>
      <rPr>
        <sz val="11"/>
        <color rgb="FFFF0000"/>
        <rFont val="Calibri"/>
        <family val="2"/>
        <scheme val="minor"/>
      </rPr>
      <t>AFT HULL</t>
    </r>
    <r>
      <rPr>
        <sz val="11"/>
        <color theme="1"/>
        <rFont val="Calibri"/>
        <family val="2"/>
        <scheme val="minor"/>
      </rPr>
      <t>: check for scratches, shave if nessisary</t>
    </r>
  </si>
  <si>
    <r>
      <rPr>
        <sz val="11"/>
        <color rgb="FFFF0000"/>
        <rFont val="Calibri"/>
        <family val="2"/>
        <scheme val="minor"/>
      </rPr>
      <t>AFT HULL:</t>
    </r>
    <r>
      <rPr>
        <sz val="11"/>
        <color theme="1"/>
        <rFont val="Calibri"/>
        <family val="2"/>
        <scheme val="minor"/>
      </rPr>
      <t xml:space="preserve"> clean and grease seats to fit to aft end and sci bay</t>
    </r>
  </si>
  <si>
    <r>
      <rPr>
        <sz val="11"/>
        <color rgb="FFFF0000"/>
        <rFont val="Calibri"/>
        <family val="2"/>
        <scheme val="minor"/>
      </rPr>
      <t>SCIENCE:</t>
    </r>
    <r>
      <rPr>
        <sz val="11"/>
        <color theme="1"/>
        <rFont val="Calibri"/>
        <family val="2"/>
        <scheme val="minor"/>
      </rPr>
      <t xml:space="preserve"> clean and grease AFT 0-ring seats</t>
    </r>
  </si>
  <si>
    <r>
      <rPr>
        <sz val="11"/>
        <color rgb="FFFF0000"/>
        <rFont val="Calibri"/>
        <family val="2"/>
        <scheme val="minor"/>
      </rPr>
      <t>AFT HULL:</t>
    </r>
    <r>
      <rPr>
        <sz val="11"/>
        <color theme="1"/>
        <rFont val="Calibri"/>
        <family val="2"/>
        <scheme val="minor"/>
      </rPr>
      <t xml:space="preserve"> place aft battery in aft hull and connect to scince bay</t>
    </r>
  </si>
  <si>
    <r>
      <rPr>
        <sz val="11"/>
        <color rgb="FFFF0000"/>
        <rFont val="Calibri"/>
        <family val="2"/>
        <scheme val="minor"/>
      </rPr>
      <t>AFT:</t>
    </r>
    <r>
      <rPr>
        <sz val="11"/>
        <color theme="1"/>
        <rFont val="Calibri"/>
        <family val="2"/>
        <scheme val="minor"/>
      </rPr>
      <t xml:space="preserve"> insert aft end into aft hull and seal the aft end to hull</t>
    </r>
  </si>
  <si>
    <r>
      <rPr>
        <sz val="11"/>
        <color rgb="FFFF0000"/>
        <rFont val="Calibri"/>
        <family val="2"/>
        <scheme val="minor"/>
      </rPr>
      <t>AFT:</t>
    </r>
    <r>
      <rPr>
        <sz val="11"/>
        <color theme="1"/>
        <rFont val="Calibri"/>
        <family val="2"/>
        <scheme val="minor"/>
      </rPr>
      <t xml:space="preserve"> connect all applicable connectors and seal scince to aft hull</t>
    </r>
  </si>
  <si>
    <r>
      <rPr>
        <sz val="11"/>
        <color rgb="FFFF0000"/>
        <rFont val="Calibri"/>
        <family val="2"/>
        <scheme val="minor"/>
      </rPr>
      <t>SCIENCE:</t>
    </r>
    <r>
      <rPr>
        <sz val="11"/>
        <color theme="1"/>
        <rFont val="Calibri"/>
        <family val="2"/>
        <scheme val="minor"/>
      </rPr>
      <t xml:space="preserve"> clean and grease FWD o-rings</t>
    </r>
  </si>
  <si>
    <t>close glider and tighted ensuring hulls are strait and pull vacuum</t>
  </si>
  <si>
    <t>Exterior final checks</t>
  </si>
  <si>
    <t>Aquashield all exterior screws.</t>
  </si>
  <si>
    <t>apply silicone grease coating to pump</t>
  </si>
  <si>
    <t>Final weight check</t>
  </si>
  <si>
    <r>
      <t xml:space="preserve">Record dry weight on Trim sheet - </t>
    </r>
    <r>
      <rPr>
        <b/>
        <sz val="11"/>
        <color theme="1"/>
        <rFont val="Calibri"/>
        <family val="2"/>
        <scheme val="minor"/>
      </rPr>
      <t>and in Comments</t>
    </r>
  </si>
  <si>
    <t>If dry weight has changed, repeat final dunk in tank</t>
  </si>
  <si>
    <t>FCP</t>
  </si>
  <si>
    <t>Indoor</t>
  </si>
  <si>
    <t>Outdoor</t>
  </si>
  <si>
    <t>Sim dives and final steps</t>
  </si>
  <si>
    <t xml:space="preserve">Pull files notes: </t>
  </si>
  <si>
    <t>with glider still outside, run simulated mission.mi (on battery power)</t>
  </si>
  <si>
    <t>zs config/autoexec.mi</t>
  </si>
  <si>
    <t>with glider still outside, run simulated &lt;expedition&gt;.mi (on battery power)</t>
  </si>
  <si>
    <t>zs config/sbdlist.dat</t>
  </si>
  <si>
    <t>Check sim dive data</t>
  </si>
  <si>
    <t>zs config/mbdlist.dat</t>
  </si>
  <si>
    <t>pull ALL CACHE FILES</t>
  </si>
  <si>
    <t>zs mission/*.mi</t>
  </si>
  <si>
    <t>archive deployment on freewave (lab) SFMC</t>
  </si>
  <si>
    <t>szs config/proglets.dat</t>
  </si>
  <si>
    <t xml:space="preserve">See notes ---&gt; </t>
  </si>
  <si>
    <t>pull all config/mission/mafiles and from from-glider folder, download all</t>
  </si>
  <si>
    <t>szs config/tbdlist.dat</t>
  </si>
  <si>
    <t>Prepare to ship using lab script</t>
  </si>
  <si>
    <t>Glider in boot app, vacuum correct, pump retracted</t>
  </si>
  <si>
    <t>Attach labels to glider</t>
  </si>
  <si>
    <t>PULL files from glider</t>
  </si>
  <si>
    <t>Pack</t>
  </si>
  <si>
    <t>ONCE simulation is done add a hard stop</t>
  </si>
  <si>
    <t>Arrange freight with Logistics team</t>
  </si>
  <si>
    <t>and put files in to expedition folder</t>
  </si>
  <si>
    <t>Wings, freewave box, trolley, thruster and sensor parts, green plug in crate with glider</t>
  </si>
  <si>
    <t>Pack spares appropriate for deployment/recovery</t>
  </si>
  <si>
    <t>Label all boxes readty for collection</t>
  </si>
  <si>
    <t>Prepare DGN and forward to Logistics team</t>
  </si>
  <si>
    <t>COPY ALL piloting relavant documents from refurb to expadition folder</t>
  </si>
  <si>
    <t>IMS and Sensor Tracker movement</t>
  </si>
  <si>
    <t>Attach all components to glider on ST</t>
  </si>
  <si>
    <t>Create IMS outbound transport and planlist, attach glider and crate to planlist</t>
  </si>
  <si>
    <t>Add details to IP log if using Inward Processing</t>
  </si>
  <si>
    <t>Notify all stakeholders</t>
  </si>
  <si>
    <t>Notify customer/PI</t>
  </si>
  <si>
    <t>Notify C2 and provide them with everything they need</t>
  </si>
  <si>
    <t>Meta data to BODC</t>
  </si>
  <si>
    <t>On deployment</t>
  </si>
  <si>
    <t>Move glider onto IMS deployment</t>
  </si>
  <si>
    <t>Notify C2 and BODC</t>
  </si>
  <si>
    <t>Once trimmed, create Trim sheet 'AS DEPLOYED' and check ballasting</t>
  </si>
  <si>
    <t>Glider outgoing on mission, Happy piloting</t>
  </si>
  <si>
    <t>Glider Incoming from mission, complete form below</t>
  </si>
  <si>
    <t>num inflections</t>
  </si>
  <si>
    <t>coulomb amphr total</t>
  </si>
  <si>
    <t xml:space="preserve">Document any notable sratches somewhere attached </t>
  </si>
  <si>
    <t>Label hulls if replacement is needed</t>
  </si>
  <si>
    <t>Return FCP</t>
  </si>
  <si>
    <t>Complete return FCP sheet</t>
  </si>
  <si>
    <t>n/a</t>
  </si>
  <si>
    <t>Data Transfer</t>
  </si>
  <si>
    <t>Archive data via SFMC / if opening glider, copy contents on cards</t>
  </si>
  <si>
    <t>Run Full_res_data transfer script on any machine program is installed. Ask Alex if help needed</t>
  </si>
  <si>
    <t>Gather all contents, surface logs and other important info from Iridium SFMC</t>
  </si>
  <si>
    <t>Archive glider mission on Iridium SFMC</t>
  </si>
  <si>
    <t>Archive glider on Local SFMC</t>
  </si>
  <si>
    <t>run delayed mode data processing</t>
  </si>
  <si>
    <t>run oddity checker on delayed mode data</t>
  </si>
  <si>
    <t>label Ah remaining on batteries</t>
  </si>
  <si>
    <t>prep for disposal or pack away for other application</t>
  </si>
  <si>
    <t>Give emergency battery to Seaglider area for use with wireless coms</t>
  </si>
  <si>
    <t>Inspection and tear down</t>
  </si>
  <si>
    <t>Note any damaged components on their respective IMS notes and on gliderlab fault tracking</t>
  </si>
  <si>
    <t>Pack pump and fwd hull away with either glider or in storage on mez, note refurbishments</t>
  </si>
  <si>
    <t>remove science and replace with empty hull</t>
  </si>
  <si>
    <t>remove thruster, clean and store</t>
  </si>
  <si>
    <t>Science</t>
  </si>
  <si>
    <t>NOC cal preperation</t>
  </si>
  <si>
    <t>Prep for calibration (shipment to TWR or in Cal bay for NOC Cal)</t>
  </si>
  <si>
    <t>Remove external senosrs and prep for calibration / storage or repair</t>
  </si>
  <si>
    <t>Repairs</t>
  </si>
  <si>
    <t>Note repairs needed</t>
  </si>
  <si>
    <t>Record somewhere and schedule for service</t>
  </si>
  <si>
    <t>Storage</t>
  </si>
  <si>
    <t>Added thruster type to constants, auto fetch battery undervolts and capacity, a couple of other tweaks</t>
  </si>
  <si>
    <t>AC</t>
  </si>
  <si>
    <t>Revised Final Seal section and some formating, added micro rider sections</t>
  </si>
  <si>
    <t>Added some notes on SATPAR</t>
  </si>
  <si>
    <t>Version</t>
  </si>
  <si>
    <t>Contributor</t>
  </si>
  <si>
    <t>Change Log</t>
  </si>
  <si>
    <t>SW</t>
  </si>
  <si>
    <t>TODO</t>
  </si>
  <si>
    <t xml:space="preserve">add extra bits for If parts need replacing, where to find sop and new SNs etc </t>
  </si>
  <si>
    <t>--&gt;</t>
  </si>
  <si>
    <t>added na as an option and still shows complete in the task completed cells</t>
  </si>
  <si>
    <t>added mi &amp; ma files check, all mi voltages set to 17 as standard</t>
  </si>
  <si>
    <t>added science bay and ex energy bay SN. Added Adeniyi's compass chart</t>
  </si>
  <si>
    <t>fixed post mission stuff and repairs, also added 'na' to list of options</t>
  </si>
  <si>
    <t>AV</t>
  </si>
  <si>
    <t>fixed some formulas and added some data bars.</t>
  </si>
  <si>
    <t>Added battery information for the type of battery you have</t>
  </si>
  <si>
    <t>Added information to Add to IMS for different components</t>
  </si>
  <si>
    <t>1.10</t>
  </si>
  <si>
    <t>Added More SN for SNs that we need to track</t>
  </si>
  <si>
    <t>Added Jasco Observer portion of file, added line in pump section to confirm alt is working in air, calibration stuff for science bay oon return</t>
  </si>
  <si>
    <t>Moved things around a little. Change FCP to reflect what is being fone on this sheet. Some things were doubled up in both places. This now should fix that issue of doing things multiple times. Moved compass checks and calibration to lab section. This will check that there is nothings changed crazy on the compass. might move this back now to think about it, may want to check compass after the ballast with all the changes made</t>
  </si>
  <si>
    <t xml:space="preserve">Added important info pulled to top of sheet as to not 'hunt' for it in the sheet. </t>
  </si>
  <si>
    <t>Based on previous meeding, added sections for second technician checks and made some quick changes based on the recommendations from meeting</t>
  </si>
  <si>
    <t>Battery type</t>
  </si>
  <si>
    <t>f_coulomb_capacity</t>
  </si>
  <si>
    <t>undervolts (G2)</t>
  </si>
  <si>
    <t>undervolts (G3)</t>
  </si>
  <si>
    <t xml:space="preserve">All sensors </t>
  </si>
  <si>
    <t xml:space="preserve">uart </t>
  </si>
  <si>
    <t>pwr</t>
  </si>
  <si>
    <t>3s</t>
  </si>
  <si>
    <t>3s ext</t>
  </si>
  <si>
    <t>4s</t>
  </si>
  <si>
    <t>4s ext</t>
  </si>
  <si>
    <t>lith-ion</t>
  </si>
  <si>
    <t>lith-ion ext</t>
  </si>
  <si>
    <t>Pump type</t>
  </si>
  <si>
    <t>f_max_working_depth</t>
  </si>
  <si>
    <t>f_crush_depth</t>
  </si>
  <si>
    <t>m_vacuum</t>
  </si>
  <si>
    <t>G3 1000</t>
  </si>
  <si>
    <t>G2 1000</t>
  </si>
  <si>
    <t>G3 350</t>
  </si>
  <si>
    <t>G3 200</t>
  </si>
  <si>
    <t>G2 200</t>
  </si>
  <si>
    <t>Thruster type</t>
  </si>
  <si>
    <t>Altimeter type</t>
  </si>
  <si>
    <t>none</t>
  </si>
  <si>
    <t>old</t>
  </si>
  <si>
    <t>6W</t>
  </si>
  <si>
    <t>new</t>
  </si>
  <si>
    <t>10W</t>
  </si>
  <si>
    <t>Glider type</t>
  </si>
  <si>
    <t>Sci Bay type</t>
  </si>
  <si>
    <t xml:space="preserve">G2 </t>
  </si>
  <si>
    <t>gen1</t>
  </si>
  <si>
    <t>G3</t>
  </si>
  <si>
    <t>gen2</t>
  </si>
  <si>
    <t>g3s</t>
  </si>
  <si>
    <t>confirmed</t>
  </si>
  <si>
    <t>unsure</t>
  </si>
  <si>
    <t>Compass check &amp; cal</t>
  </si>
  <si>
    <t>desired</t>
  </si>
  <si>
    <t>Pre-cal compass check</t>
  </si>
  <si>
    <t>Post-cal compass check</t>
  </si>
  <si>
    <t>actual</t>
  </si>
  <si>
    <t>error</t>
  </si>
  <si>
    <t>Max error:</t>
  </si>
  <si>
    <t>Battery info</t>
  </si>
  <si>
    <t>glider</t>
  </si>
  <si>
    <t>battery</t>
  </si>
  <si>
    <t>e-battery</t>
  </si>
  <si>
    <t>harness needed</t>
  </si>
  <si>
    <t>g3</t>
  </si>
  <si>
    <t>alkaline</t>
  </si>
  <si>
    <t>no</t>
  </si>
  <si>
    <t>yes</t>
  </si>
  <si>
    <t>g2</t>
  </si>
  <si>
    <t>lithium</t>
  </si>
  <si>
    <t>Label Sci bay if calibration is needed / start calibration or RMA request</t>
  </si>
  <si>
    <t>Take photos of the entire glider and different components as received. Place in exepdition folder</t>
  </si>
  <si>
    <t xml:space="preserve">Did the FCP pass? Please indicate any notes in comments --&gt; </t>
  </si>
  <si>
    <t>IN PROGRESS: ASK ALEX</t>
  </si>
  <si>
    <t>Something with longterm.dat?????</t>
  </si>
  <si>
    <t>Added IMS stuff on incoming</t>
  </si>
  <si>
    <t>Pack and store On the Mez</t>
  </si>
  <si>
    <t>remove optode and store in optode out drawer</t>
  </si>
  <si>
    <t>Note any damage to aft end and repair it possible</t>
  </si>
  <si>
    <t>Put science bay asside for Calibration / shipment to TWR depending on project requirements</t>
  </si>
  <si>
    <t>archive glider deployment on SFMC</t>
  </si>
  <si>
    <t>Start Deployment documents and add to expedition folder</t>
  </si>
  <si>
    <t>Request or workout target surface/max depth T &amp; S data (copernicus)</t>
  </si>
  <si>
    <r>
      <t xml:space="preserve">Update to current used code release - </t>
    </r>
    <r>
      <rPr>
        <b/>
        <sz val="11"/>
        <color theme="1"/>
        <rFont val="Calibri"/>
        <family val="2"/>
        <scheme val="minor"/>
      </rPr>
      <t xml:space="preserve">Read the READMEs see what bugs it fixes is it necessary </t>
    </r>
  </si>
  <si>
    <t>Load vanilla mission files over LAB SFMC freewave( .mi, .ma )</t>
  </si>
  <si>
    <r>
      <rPr>
        <sz val="11"/>
        <color rgb="FFFF0000"/>
        <rFont val="Calibri"/>
        <family val="2"/>
        <scheme val="minor"/>
      </rPr>
      <t>Autoexec.mi</t>
    </r>
    <r>
      <rPr>
        <sz val="11"/>
        <color theme="1"/>
        <rFont val="Calibri"/>
        <family val="2"/>
        <scheme val="minor"/>
      </rPr>
      <t>: Check pump cal values [printed on the pump]</t>
    </r>
  </si>
  <si>
    <r>
      <rPr>
        <sz val="11"/>
        <color rgb="FFFF0000"/>
        <rFont val="Calibri"/>
        <family val="2"/>
        <scheme val="minor"/>
      </rPr>
      <t>Autoexec.mi</t>
    </r>
    <r>
      <rPr>
        <sz val="11"/>
        <color theme="1"/>
        <rFont val="Calibri"/>
        <family val="2"/>
        <scheme val="minor"/>
      </rPr>
      <t>: Check pitch motor cal values [printed on the pitch motor]</t>
    </r>
  </si>
  <si>
    <t>Start a new trimsheet: see 'unit_1104_trial_ NOC_TRIMSHEET.xlsm'</t>
  </si>
  <si>
    <t>Replace coin cell batteries of RTC clock</t>
  </si>
  <si>
    <t xml:space="preserve">Have separate technician confirm the above section is complete: </t>
  </si>
  <si>
    <r>
      <rPr>
        <b/>
        <sz val="11"/>
        <color theme="1"/>
        <rFont val="Calibri"/>
        <family val="2"/>
        <scheme val="minor"/>
      </rPr>
      <t>logging on</t>
    </r>
    <r>
      <rPr>
        <sz val="11"/>
        <color theme="1"/>
        <rFont val="Calibri"/>
        <family val="2"/>
        <scheme val="minor"/>
      </rPr>
      <t xml:space="preserve"> and </t>
    </r>
    <r>
      <rPr>
        <b/>
        <sz val="11"/>
        <color theme="1"/>
        <rFont val="Calibri"/>
        <family val="2"/>
        <scheme val="minor"/>
      </rPr>
      <t>loadmission Sci_on.mi</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</si>
</sst>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color theme="1"/>
      <name val="Calibri"/>
      <family val="2"/>
      <scheme val="minor"/>
    </font>
    <font>
      <b/>
      <sz val="16"/>
      <color theme="1"/>
      <name val="Calibri"/>
      <family val="2"/>
      <scheme val="minor"/>
    </font>
    <font>
      <b/>
      <sz val="10"/>
      <color theme="1"/>
      <name val="Calibri"/>
      <family val="2"/>
      <scheme val="minor"/>
    </font>
    <font>
      <sz val="11"/>
      <color rgb="FFFF0000"/>
      <name val="Calibri"/>
      <family val="2"/>
      <scheme val="minor"/>
    </font>
    <font>
      <b/>
      <sz val="13"/>
      <color theme="1"/>
      <name val="Calibri"/>
      <family val="2"/>
      <scheme val="minor"/>
    </font>
    <font>
      <sz val="11"/>
      <name val="Calibri"/>
      <family val="2"/>
      <scheme val="minor"/>
    </font>
    <font>
      <u/>
      <sz val="11"/>
      <color theme="10"/>
      <name val="Calibri"/>
      <family val="2"/>
      <scheme val="minor"/>
    </font>
    <font>
      <b/>
      <u/>
      <sz val="11"/>
      <color theme="1"/>
      <name val="Calibri"/>
      <family val="2"/>
      <scheme val="minor"/>
    </font>
    <font>
      <sz val="11"/>
      <color rgb="FF9C5700"/>
      <name val="Calibri"/>
      <family val="2"/>
      <scheme val="minor"/>
    </font>
    <font>
      <sz val="11"/>
      <color theme="0" tint="-0.14999847407452621"/>
      <name val="Calibri"/>
      <family val="2"/>
      <scheme val="minor"/>
    </font>
    <font>
      <b/>
      <sz val="11"/>
      <color theme="0" tint="-0.14999847407452621"/>
      <name val="Calibri"/>
      <family val="2"/>
      <scheme val="minor"/>
    </font>
    <font>
      <sz val="11"/>
      <color theme="1"/>
      <name val="Calibri"/>
      <family val="2"/>
    </font>
    <font>
      <sz val="11"/>
      <color rgb="FF000000"/>
      <name val="Calibri"/>
      <family val="2"/>
    </font>
    <font>
      <sz val="11"/>
      <color theme="1"/>
      <name val="Calibri"/>
      <family val="2"/>
      <scheme val="minor"/>
    </font>
    <font>
      <sz val="14"/>
      <color theme="1"/>
      <name val="Calibri"/>
      <family val="2"/>
      <scheme val="minor"/>
    </font>
    <font>
      <b/>
      <sz val="14"/>
      <color theme="1"/>
      <name val="Calibri"/>
      <family val="2"/>
      <scheme val="minor"/>
    </font>
  </fonts>
  <fills count="15">
    <fill>
      <patternFill patternType="none"/>
    </fill>
    <fill>
      <patternFill patternType="gray125"/>
    </fill>
    <fill>
      <patternFill patternType="solid">
        <fgColor rgb="FFFF0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FFC000"/>
        <bgColor indexed="64"/>
      </patternFill>
    </fill>
    <fill>
      <patternFill patternType="solid">
        <fgColor theme="5" tint="0.59999389629810485"/>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0" fontId="7" fillId="0" borderId="0" applyNumberFormat="0" applyFill="0" applyBorder="0" applyAlignment="0" applyProtection="0"/>
    <xf numFmtId="0" fontId="9" fillId="12" borderId="0" applyNumberFormat="0" applyBorder="0" applyAlignment="0" applyProtection="0"/>
    <xf numFmtId="9" fontId="14" fillId="0" borderId="0" applyFont="0" applyFill="0" applyBorder="0" applyAlignment="0" applyProtection="0"/>
  </cellStyleXfs>
  <cellXfs count="209">
    <xf numFmtId="0" fontId="0" fillId="0" borderId="0" xfId="0"/>
    <xf numFmtId="0" fontId="0" fillId="4" borderId="0" xfId="0" applyFill="1"/>
    <xf numFmtId="0" fontId="0" fillId="6" borderId="0" xfId="0" applyFill="1" applyAlignment="1">
      <alignment horizontal="center"/>
    </xf>
    <xf numFmtId="0" fontId="1" fillId="0" borderId="0" xfId="0" applyFont="1"/>
    <xf numFmtId="0" fontId="1" fillId="8" borderId="0" xfId="0" applyFont="1" applyFill="1"/>
    <xf numFmtId="0" fontId="1" fillId="8" borderId="0" xfId="0" applyFont="1" applyFill="1" applyAlignment="1">
      <alignment horizontal="center"/>
    </xf>
    <xf numFmtId="0" fontId="0" fillId="4" borderId="4" xfId="0" applyFill="1" applyBorder="1"/>
    <xf numFmtId="0" fontId="0" fillId="6" borderId="4" xfId="0" applyFill="1" applyBorder="1"/>
    <xf numFmtId="0" fontId="0" fillId="6" borderId="5" xfId="0" applyFill="1" applyBorder="1" applyAlignment="1">
      <alignment horizontal="center"/>
    </xf>
    <xf numFmtId="0" fontId="1" fillId="4" borderId="4" xfId="0" applyFont="1" applyFill="1" applyBorder="1"/>
    <xf numFmtId="0" fontId="4" fillId="4" borderId="4" xfId="0" applyFont="1" applyFill="1" applyBorder="1"/>
    <xf numFmtId="0" fontId="0" fillId="0" borderId="4" xfId="0" applyBorder="1"/>
    <xf numFmtId="0" fontId="0" fillId="0" borderId="5" xfId="0" applyBorder="1"/>
    <xf numFmtId="0" fontId="0" fillId="4" borderId="6" xfId="0" applyFill="1" applyBorder="1"/>
    <xf numFmtId="0" fontId="3" fillId="3" borderId="10" xfId="0" applyFont="1" applyFill="1" applyBorder="1" applyAlignment="1">
      <alignment horizontal="center" wrapText="1"/>
    </xf>
    <xf numFmtId="0" fontId="3" fillId="3" borderId="10" xfId="0" applyFont="1" applyFill="1" applyBorder="1" applyAlignment="1">
      <alignment horizontal="center" vertical="center"/>
    </xf>
    <xf numFmtId="0" fontId="0" fillId="0" borderId="0" xfId="0" applyAlignment="1">
      <alignment horizontal="right"/>
    </xf>
    <xf numFmtId="0" fontId="1" fillId="4" borderId="0" xfId="0" applyFont="1" applyFill="1"/>
    <xf numFmtId="0" fontId="0" fillId="4" borderId="5" xfId="0" applyFill="1" applyBorder="1"/>
    <xf numFmtId="0" fontId="0" fillId="4" borderId="7" xfId="0" applyFill="1" applyBorder="1"/>
    <xf numFmtId="0" fontId="1" fillId="4" borderId="7" xfId="0" applyFont="1" applyFill="1" applyBorder="1"/>
    <xf numFmtId="0" fontId="0" fillId="4" borderId="8" xfId="0" applyFill="1" applyBorder="1"/>
    <xf numFmtId="0" fontId="1" fillId="4" borderId="2" xfId="0" applyFont="1" applyFill="1" applyBorder="1"/>
    <xf numFmtId="0" fontId="0" fillId="4" borderId="2" xfId="0" applyFill="1" applyBorder="1"/>
    <xf numFmtId="0" fontId="0" fillId="4" borderId="3" xfId="0" applyFill="1" applyBorder="1"/>
    <xf numFmtId="0" fontId="0" fillId="0" borderId="13" xfId="0" applyBorder="1"/>
    <xf numFmtId="0" fontId="0" fillId="0" borderId="15" xfId="0" applyBorder="1"/>
    <xf numFmtId="0" fontId="0" fillId="10" borderId="2" xfId="0" applyFill="1" applyBorder="1"/>
    <xf numFmtId="0" fontId="0" fillId="10" borderId="3" xfId="0" applyFill="1" applyBorder="1"/>
    <xf numFmtId="0" fontId="0" fillId="6" borderId="0" xfId="0" applyFill="1"/>
    <xf numFmtId="0" fontId="0" fillId="6" borderId="5" xfId="0" applyFill="1" applyBorder="1"/>
    <xf numFmtId="0" fontId="1" fillId="6" borderId="4" xfId="0" applyFont="1" applyFill="1" applyBorder="1"/>
    <xf numFmtId="0" fontId="1" fillId="6" borderId="0" xfId="0" applyFont="1" applyFill="1"/>
    <xf numFmtId="0" fontId="0" fillId="3" borderId="10" xfId="0" applyFill="1" applyBorder="1"/>
    <xf numFmtId="0" fontId="0" fillId="6" borderId="9" xfId="0" applyFill="1" applyBorder="1"/>
    <xf numFmtId="0" fontId="0" fillId="6" borderId="10" xfId="0" applyFill="1" applyBorder="1"/>
    <xf numFmtId="0" fontId="0" fillId="6" borderId="11" xfId="0" applyFill="1" applyBorder="1"/>
    <xf numFmtId="0" fontId="0" fillId="3" borderId="9" xfId="0" applyFill="1" applyBorder="1"/>
    <xf numFmtId="0" fontId="0" fillId="3" borderId="11" xfId="0" applyFill="1" applyBorder="1"/>
    <xf numFmtId="0" fontId="1" fillId="6" borderId="9" xfId="0" applyFont="1" applyFill="1" applyBorder="1"/>
    <xf numFmtId="0" fontId="1" fillId="6" borderId="10" xfId="0" applyFont="1" applyFill="1" applyBorder="1"/>
    <xf numFmtId="0" fontId="0" fillId="6" borderId="10" xfId="0" applyFill="1" applyBorder="1" applyAlignment="1">
      <alignment horizontal="center"/>
    </xf>
    <xf numFmtId="0" fontId="0" fillId="6" borderId="11" xfId="0" applyFill="1" applyBorder="1" applyAlignment="1">
      <alignment horizontal="center"/>
    </xf>
    <xf numFmtId="0" fontId="2" fillId="10" borderId="6" xfId="0" applyFont="1" applyFill="1" applyBorder="1" applyAlignment="1">
      <alignment horizontal="center"/>
    </xf>
    <xf numFmtId="0" fontId="0" fillId="10" borderId="7" xfId="0" applyFill="1" applyBorder="1" applyAlignment="1">
      <alignment horizontal="center"/>
    </xf>
    <xf numFmtId="0" fontId="0" fillId="10" borderId="1" xfId="0" applyFill="1" applyBorder="1"/>
    <xf numFmtId="0" fontId="1" fillId="10" borderId="2" xfId="0" applyFont="1" applyFill="1" applyBorder="1"/>
    <xf numFmtId="0" fontId="0" fillId="6" borderId="6" xfId="0" applyFill="1" applyBorder="1"/>
    <xf numFmtId="0" fontId="0" fillId="6" borderId="7" xfId="0" applyFill="1" applyBorder="1"/>
    <xf numFmtId="0" fontId="0" fillId="6" borderId="8" xfId="0" applyFill="1" applyBorder="1"/>
    <xf numFmtId="0" fontId="0" fillId="10" borderId="7" xfId="0" applyFill="1" applyBorder="1"/>
    <xf numFmtId="0" fontId="0" fillId="10" borderId="8" xfId="0" applyFill="1" applyBorder="1"/>
    <xf numFmtId="0" fontId="0" fillId="6" borderId="7" xfId="0" applyFill="1" applyBorder="1" applyAlignment="1">
      <alignment horizontal="left"/>
    </xf>
    <xf numFmtId="0" fontId="1" fillId="6" borderId="7" xfId="0" applyFont="1" applyFill="1" applyBorder="1" applyAlignment="1">
      <alignment horizontal="left" vertical="center"/>
    </xf>
    <xf numFmtId="0" fontId="0" fillId="6" borderId="7" xfId="0" applyFill="1" applyBorder="1" applyAlignment="1">
      <alignment horizontal="center"/>
    </xf>
    <xf numFmtId="0" fontId="0" fillId="6" borderId="8" xfId="0" applyFill="1" applyBorder="1" applyAlignment="1">
      <alignment horizontal="center"/>
    </xf>
    <xf numFmtId="0" fontId="0" fillId="0" borderId="10" xfId="0" applyBorder="1"/>
    <xf numFmtId="0" fontId="5" fillId="0" borderId="9" xfId="0" applyFont="1" applyBorder="1" applyAlignment="1">
      <alignment horizontal="center"/>
    </xf>
    <xf numFmtId="0" fontId="5" fillId="0" borderId="10" xfId="0" applyFont="1" applyBorder="1" applyAlignment="1">
      <alignment horizontal="center"/>
    </xf>
    <xf numFmtId="0" fontId="5" fillId="0" borderId="10" xfId="0" applyFont="1" applyBorder="1" applyAlignment="1">
      <alignment horizontal="center" wrapText="1"/>
    </xf>
    <xf numFmtId="0" fontId="0" fillId="0" borderId="11" xfId="0" applyBorder="1"/>
    <xf numFmtId="0" fontId="0" fillId="4" borderId="18" xfId="0" applyFill="1" applyBorder="1"/>
    <xf numFmtId="0" fontId="0" fillId="0" borderId="19" xfId="0" applyBorder="1"/>
    <xf numFmtId="0" fontId="0" fillId="4" borderId="19" xfId="0" applyFill="1" applyBorder="1"/>
    <xf numFmtId="0" fontId="0" fillId="0" borderId="4" xfId="0" quotePrefix="1" applyBorder="1"/>
    <xf numFmtId="0" fontId="0" fillId="0" borderId="0" xfId="0" quotePrefix="1"/>
    <xf numFmtId="0" fontId="0" fillId="0" borderId="5" xfId="0" quotePrefix="1" applyBorder="1"/>
    <xf numFmtId="0" fontId="0" fillId="0" borderId="0" xfId="0" applyAlignment="1">
      <alignment horizontal="center"/>
    </xf>
    <xf numFmtId="0" fontId="0" fillId="0" borderId="0" xfId="0" applyAlignment="1">
      <alignment horizontal="center" wrapText="1"/>
    </xf>
    <xf numFmtId="0" fontId="0" fillId="3" borderId="9" xfId="0" quotePrefix="1" applyFill="1" applyBorder="1"/>
    <xf numFmtId="0" fontId="0" fillId="3" borderId="11" xfId="0" quotePrefix="1" applyFill="1" applyBorder="1"/>
    <xf numFmtId="0" fontId="0" fillId="0" borderId="0" xfId="0" applyAlignment="1">
      <alignment horizontal="left"/>
    </xf>
    <xf numFmtId="0" fontId="7" fillId="4" borderId="4" xfId="1" applyFill="1" applyBorder="1"/>
    <xf numFmtId="0" fontId="0" fillId="0" borderId="20" xfId="0" applyBorder="1"/>
    <xf numFmtId="0" fontId="0" fillId="0" borderId="19" xfId="0" applyBorder="1" applyAlignment="1">
      <alignment horizontal="left"/>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wrapText="1"/>
    </xf>
    <xf numFmtId="0" fontId="0" fillId="3" borderId="21" xfId="0" applyFill="1" applyBorder="1"/>
    <xf numFmtId="0" fontId="0" fillId="0" borderId="21" xfId="0" applyBorder="1"/>
    <xf numFmtId="0" fontId="0" fillId="0" borderId="21" xfId="0" applyBorder="1" applyAlignment="1">
      <alignment wrapText="1"/>
    </xf>
    <xf numFmtId="0" fontId="0" fillId="3" borderId="21" xfId="0" applyFill="1" applyBorder="1" applyAlignment="1">
      <alignment wrapText="1"/>
    </xf>
    <xf numFmtId="0" fontId="0" fillId="0" borderId="22" xfId="0" applyBorder="1"/>
    <xf numFmtId="0" fontId="0" fillId="0" borderId="23" xfId="0" applyBorder="1" applyAlignment="1">
      <alignment wrapText="1"/>
    </xf>
    <xf numFmtId="0" fontId="0" fillId="0" borderId="24" xfId="0" applyBorder="1" applyAlignment="1">
      <alignment wrapText="1"/>
    </xf>
    <xf numFmtId="0" fontId="0" fillId="0" borderId="21" xfId="0" applyBorder="1" applyAlignment="1">
      <alignment horizontal="center" wrapText="1"/>
    </xf>
    <xf numFmtId="0" fontId="0" fillId="11" borderId="0" xfId="0" applyFill="1" applyAlignment="1">
      <alignment horizontal="right"/>
    </xf>
    <xf numFmtId="0" fontId="0" fillId="11" borderId="0" xfId="0" applyFill="1"/>
    <xf numFmtId="0" fontId="0" fillId="4" borderId="5" xfId="0" applyFill="1" applyBorder="1" applyAlignment="1">
      <alignment horizontal="center"/>
    </xf>
    <xf numFmtId="0" fontId="10" fillId="4" borderId="14" xfId="0" applyFont="1" applyFill="1" applyBorder="1" applyAlignment="1">
      <alignment horizontal="center"/>
    </xf>
    <xf numFmtId="0" fontId="9" fillId="12" borderId="17" xfId="2" applyBorder="1" applyAlignment="1">
      <alignment horizontal="center"/>
    </xf>
    <xf numFmtId="0" fontId="1" fillId="0" borderId="0" xfId="0" applyFont="1" applyAlignment="1">
      <alignment horizontal="center" vertical="center"/>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xf>
    <xf numFmtId="0" fontId="1" fillId="0" borderId="2" xfId="0" applyFont="1" applyBorder="1" applyAlignment="1">
      <alignment horizontal="center" vertical="center"/>
    </xf>
    <xf numFmtId="0" fontId="3" fillId="3" borderId="10" xfId="0" applyFont="1" applyFill="1" applyBorder="1" applyAlignment="1">
      <alignment horizontal="center" vertical="center" wrapText="1"/>
    </xf>
    <xf numFmtId="0" fontId="1" fillId="6" borderId="10" xfId="0" applyFont="1" applyFill="1" applyBorder="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6" borderId="0" xfId="0" applyFont="1" applyFill="1" applyAlignment="1">
      <alignment horizontal="center" vertical="center"/>
    </xf>
    <xf numFmtId="0" fontId="1" fillId="10" borderId="2" xfId="0" applyFont="1" applyFill="1" applyBorder="1" applyAlignment="1">
      <alignment horizontal="center" vertical="center"/>
    </xf>
    <xf numFmtId="0" fontId="0" fillId="10" borderId="7" xfId="0" applyFill="1" applyBorder="1" applyAlignment="1">
      <alignment horizontal="center" vertical="center"/>
    </xf>
    <xf numFmtId="0" fontId="1" fillId="6" borderId="7" xfId="0" applyFont="1" applyFill="1" applyBorder="1" applyAlignment="1">
      <alignment horizontal="center" vertical="center"/>
    </xf>
    <xf numFmtId="164" fontId="0" fillId="0" borderId="21" xfId="0" applyNumberFormat="1" applyBorder="1"/>
    <xf numFmtId="0" fontId="0" fillId="4" borderId="1" xfId="0" applyFill="1" applyBorder="1"/>
    <xf numFmtId="0" fontId="9" fillId="12" borderId="0" xfId="2" applyBorder="1" applyAlignment="1">
      <alignment horizontal="center"/>
    </xf>
    <xf numFmtId="0" fontId="1" fillId="0" borderId="0" xfId="0" applyFont="1" applyAlignment="1">
      <alignment horizontal="left"/>
    </xf>
    <xf numFmtId="0" fontId="0" fillId="0" borderId="16" xfId="0" applyBorder="1"/>
    <xf numFmtId="0" fontId="1" fillId="0" borderId="26" xfId="0" applyFont="1" applyBorder="1"/>
    <xf numFmtId="9" fontId="0" fillId="4" borderId="4" xfId="3" applyFont="1" applyFill="1" applyBorder="1"/>
    <xf numFmtId="0" fontId="6" fillId="0" borderId="0" xfId="0" applyFont="1"/>
    <xf numFmtId="0" fontId="0" fillId="11" borderId="0" xfId="0" applyFill="1" applyAlignment="1">
      <alignment horizontal="left"/>
    </xf>
    <xf numFmtId="0" fontId="11" fillId="0" borderId="0" xfId="0" applyFont="1"/>
    <xf numFmtId="0" fontId="10" fillId="0" borderId="0" xfId="0" applyFont="1" applyAlignment="1">
      <alignment horizontal="center"/>
    </xf>
    <xf numFmtId="0" fontId="0" fillId="0" borderId="21" xfId="0" quotePrefix="1" applyBorder="1" applyAlignment="1">
      <alignment horizontal="right"/>
    </xf>
    <xf numFmtId="0" fontId="10" fillId="4" borderId="25" xfId="0" applyFont="1" applyFill="1" applyBorder="1" applyAlignment="1">
      <alignment horizontal="center"/>
    </xf>
    <xf numFmtId="0" fontId="7" fillId="0" borderId="12" xfId="1" applyBorder="1"/>
    <xf numFmtId="0" fontId="7" fillId="0" borderId="13" xfId="1" applyBorder="1"/>
    <xf numFmtId="0" fontId="7" fillId="0" borderId="15" xfId="1" applyBorder="1"/>
    <xf numFmtId="0" fontId="1" fillId="7" borderId="0" xfId="0" applyFont="1" applyFill="1"/>
    <xf numFmtId="0" fontId="1" fillId="7" borderId="0" xfId="0" applyFont="1" applyFill="1" applyAlignment="1">
      <alignment horizontal="center"/>
    </xf>
    <xf numFmtId="0" fontId="1" fillId="7" borderId="14" xfId="0" applyFont="1" applyFill="1" applyBorder="1" applyAlignment="1">
      <alignment horizontal="center"/>
    </xf>
    <xf numFmtId="0" fontId="0" fillId="13" borderId="0" xfId="0" applyFill="1"/>
    <xf numFmtId="0" fontId="0" fillId="4" borderId="4" xfId="0" applyFill="1" applyBorder="1" applyAlignment="1">
      <alignment wrapText="1"/>
    </xf>
    <xf numFmtId="0" fontId="0" fillId="0" borderId="19" xfId="0" applyBorder="1" applyAlignment="1">
      <alignment horizontal="center" wrapText="1"/>
    </xf>
    <xf numFmtId="0" fontId="0" fillId="0" borderId="4" xfId="0" quotePrefix="1" applyBorder="1" applyAlignment="1">
      <alignment wrapText="1"/>
    </xf>
    <xf numFmtId="0" fontId="0" fillId="0" borderId="0" xfId="0" quotePrefix="1" applyAlignment="1">
      <alignment wrapText="1"/>
    </xf>
    <xf numFmtId="0" fontId="0" fillId="0" borderId="5" xfId="0" quotePrefix="1" applyBorder="1" applyAlignment="1">
      <alignment wrapText="1"/>
    </xf>
    <xf numFmtId="0" fontId="0" fillId="0" borderId="0" xfId="0" applyAlignment="1">
      <alignment vertical="top" wrapText="1"/>
    </xf>
    <xf numFmtId="0" fontId="0" fillId="4" borderId="4" xfId="0" applyFill="1" applyBorder="1" applyAlignment="1">
      <alignment vertical="top" wrapText="1"/>
    </xf>
    <xf numFmtId="0" fontId="0" fillId="0" borderId="19" xfId="0" applyBorder="1" applyAlignment="1">
      <alignment vertical="top" wrapText="1"/>
    </xf>
    <xf numFmtId="0" fontId="0" fillId="0" borderId="0" xfId="0" quotePrefix="1" applyAlignment="1">
      <alignment vertical="top" wrapText="1"/>
    </xf>
    <xf numFmtId="0" fontId="0" fillId="0" borderId="5" xfId="0" quotePrefix="1" applyBorder="1" applyAlignment="1">
      <alignment vertical="top" wrapText="1"/>
    </xf>
    <xf numFmtId="0" fontId="0" fillId="4" borderId="0" xfId="0" applyFill="1" applyAlignment="1">
      <alignment horizontal="center"/>
    </xf>
    <xf numFmtId="0" fontId="10" fillId="4" borderId="0" xfId="0" applyFont="1" applyFill="1" applyAlignment="1">
      <alignment horizontal="center"/>
    </xf>
    <xf numFmtId="0" fontId="0" fillId="4" borderId="0" xfId="0" applyFill="1" applyAlignment="1">
      <alignment horizontal="right"/>
    </xf>
    <xf numFmtId="0" fontId="6" fillId="4" borderId="0" xfId="0" applyFont="1" applyFill="1"/>
    <xf numFmtId="0" fontId="11" fillId="4" borderId="0" xfId="0" applyFont="1" applyFill="1"/>
    <xf numFmtId="0" fontId="1" fillId="4" borderId="0" xfId="0" applyFont="1" applyFill="1" applyAlignment="1">
      <alignment horizontal="center" vertical="center"/>
    </xf>
    <xf numFmtId="0" fontId="1" fillId="4" borderId="12" xfId="0" applyFont="1" applyFill="1" applyBorder="1"/>
    <xf numFmtId="0" fontId="0" fillId="4" borderId="16" xfId="0" applyFill="1" applyBorder="1"/>
    <xf numFmtId="0" fontId="1" fillId="4" borderId="16" xfId="0" applyFont="1" applyFill="1" applyBorder="1"/>
    <xf numFmtId="0" fontId="0" fillId="4" borderId="26" xfId="0" applyFill="1" applyBorder="1"/>
    <xf numFmtId="0" fontId="1" fillId="0" borderId="13" xfId="0" applyFont="1" applyBorder="1"/>
    <xf numFmtId="0" fontId="0" fillId="4" borderId="14" xfId="0" applyFill="1" applyBorder="1"/>
    <xf numFmtId="0" fontId="1" fillId="0" borderId="13" xfId="0" applyFont="1" applyBorder="1" applyAlignment="1">
      <alignment horizontal="left"/>
    </xf>
    <xf numFmtId="0" fontId="1" fillId="4" borderId="13" xfId="0" applyFont="1" applyFill="1" applyBorder="1"/>
    <xf numFmtId="0" fontId="0" fillId="4" borderId="13" xfId="0" applyFill="1" applyBorder="1"/>
    <xf numFmtId="0" fontId="1" fillId="4" borderId="13" xfId="0" applyFont="1" applyFill="1" applyBorder="1" applyAlignment="1">
      <alignment horizontal="left"/>
    </xf>
    <xf numFmtId="0" fontId="0" fillId="4" borderId="15" xfId="0" applyFill="1" applyBorder="1"/>
    <xf numFmtId="0" fontId="11" fillId="4" borderId="17" xfId="0" applyFont="1" applyFill="1" applyBorder="1"/>
    <xf numFmtId="0" fontId="10" fillId="4" borderId="17" xfId="0" applyFont="1" applyFill="1" applyBorder="1" applyAlignment="1">
      <alignment horizontal="center"/>
    </xf>
    <xf numFmtId="0" fontId="0" fillId="4" borderId="25" xfId="0" applyFill="1" applyBorder="1"/>
    <xf numFmtId="0" fontId="1" fillId="0" borderId="12" xfId="0" applyFont="1" applyBorder="1" applyAlignment="1">
      <alignment horizontal="left" vertical="center"/>
    </xf>
    <xf numFmtId="0" fontId="9" fillId="12" borderId="26" xfId="2" applyBorder="1" applyAlignment="1">
      <alignment horizontal="center"/>
    </xf>
    <xf numFmtId="0" fontId="9" fillId="12" borderId="14" xfId="2" applyBorder="1" applyAlignment="1">
      <alignment horizontal="center"/>
    </xf>
    <xf numFmtId="0" fontId="9" fillId="12" borderId="25" xfId="2" applyBorder="1" applyAlignment="1">
      <alignment horizontal="center"/>
    </xf>
    <xf numFmtId="14" fontId="0" fillId="14" borderId="7" xfId="0" applyNumberFormat="1" applyFill="1" applyBorder="1"/>
    <xf numFmtId="0" fontId="0" fillId="0" borderId="6" xfId="0" quotePrefix="1" applyBorder="1"/>
    <xf numFmtId="0" fontId="0" fillId="0" borderId="7" xfId="0" quotePrefix="1" applyBorder="1"/>
    <xf numFmtId="0" fontId="0" fillId="0" borderId="8" xfId="0" quotePrefix="1" applyBorder="1"/>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5" xfId="0" applyBorder="1" applyAlignment="1">
      <alignment vertical="top" wrapText="1"/>
    </xf>
    <xf numFmtId="0" fontId="0" fillId="0" borderId="4" xfId="0" quotePrefix="1" applyBorder="1" applyAlignment="1">
      <alignment vertical="top" wrapText="1"/>
    </xf>
    <xf numFmtId="0" fontId="1" fillId="0" borderId="0" xfId="0" applyFont="1" applyAlignment="1">
      <alignment wrapText="1"/>
    </xf>
    <xf numFmtId="0" fontId="0" fillId="0" borderId="6" xfId="0" applyBorder="1"/>
    <xf numFmtId="0" fontId="0" fillId="0" borderId="0" xfId="0" applyAlignment="1">
      <alignment vertical="center"/>
    </xf>
    <xf numFmtId="0" fontId="3" fillId="3" borderId="10" xfId="0" applyFont="1" applyFill="1" applyBorder="1" applyAlignment="1">
      <alignment vertical="center"/>
    </xf>
    <xf numFmtId="0" fontId="3" fillId="3" borderId="11" xfId="0" applyFont="1" applyFill="1" applyBorder="1" applyAlignment="1">
      <alignment vertical="center"/>
    </xf>
    <xf numFmtId="0" fontId="1" fillId="5" borderId="4" xfId="0" applyFont="1" applyFill="1" applyBorder="1"/>
    <xf numFmtId="0" fontId="1" fillId="5" borderId="0" xfId="0" applyFont="1" applyFill="1"/>
    <xf numFmtId="0" fontId="0" fillId="0" borderId="14" xfId="0" applyBorder="1"/>
    <xf numFmtId="0" fontId="2" fillId="3" borderId="9" xfId="0" applyFont="1" applyFill="1" applyBorder="1"/>
    <xf numFmtId="0" fontId="2" fillId="3" borderId="10" xfId="0" applyFont="1" applyFill="1" applyBorder="1"/>
    <xf numFmtId="0" fontId="0" fillId="0" borderId="2" xfId="0" applyBorder="1"/>
    <xf numFmtId="0" fontId="1" fillId="0" borderId="0" xfId="0" applyFont="1" applyAlignment="1">
      <alignment vertical="center"/>
    </xf>
    <xf numFmtId="0" fontId="2" fillId="2" borderId="4" xfId="0" applyFont="1" applyFill="1" applyBorder="1"/>
    <xf numFmtId="0" fontId="2" fillId="2" borderId="0" xfId="0" applyFont="1" applyFill="1"/>
    <xf numFmtId="0" fontId="2" fillId="2" borderId="5" xfId="0" applyFont="1" applyFill="1" applyBorder="1"/>
    <xf numFmtId="0" fontId="2" fillId="9" borderId="4" xfId="0" applyFont="1" applyFill="1" applyBorder="1"/>
    <xf numFmtId="0" fontId="2" fillId="9" borderId="0" xfId="0" applyFont="1" applyFill="1"/>
    <xf numFmtId="0" fontId="2" fillId="9" borderId="5" xfId="0" applyFont="1" applyFill="1" applyBorder="1"/>
    <xf numFmtId="0" fontId="0" fillId="0" borderId="7" xfId="0" applyBorder="1"/>
    <xf numFmtId="0" fontId="0" fillId="0" borderId="8" xfId="0" applyBorder="1"/>
    <xf numFmtId="0" fontId="8" fillId="11" borderId="0" xfId="0" applyFont="1" applyFill="1"/>
    <xf numFmtId="0" fontId="1" fillId="5" borderId="1" xfId="0" applyFont="1" applyFill="1" applyBorder="1"/>
    <xf numFmtId="0" fontId="1" fillId="5" borderId="2" xfId="0" applyFont="1" applyFill="1" applyBorder="1"/>
    <xf numFmtId="0" fontId="0" fillId="0" borderId="7" xfId="0" applyBorder="1" applyAlignment="1">
      <alignment vertical="center"/>
    </xf>
    <xf numFmtId="0" fontId="13" fillId="0" borderId="0" xfId="0" applyFont="1"/>
    <xf numFmtId="0" fontId="5" fillId="0" borderId="10" xfId="0" applyFont="1" applyBorder="1"/>
    <xf numFmtId="0" fontId="1" fillId="4" borderId="2" xfId="0" applyFont="1" applyFill="1" applyBorder="1" applyAlignment="1">
      <alignment vertical="center"/>
    </xf>
    <xf numFmtId="0" fontId="1" fillId="0" borderId="27" xfId="0" applyFont="1" applyBorder="1"/>
    <xf numFmtId="0" fontId="1" fillId="0" borderId="7" xfId="0" applyFont="1" applyBorder="1"/>
    <xf numFmtId="0" fontId="1" fillId="0" borderId="13" xfId="0" applyFont="1" applyBorder="1" applyAlignment="1">
      <alignment wrapText="1"/>
    </xf>
    <xf numFmtId="164" fontId="0" fillId="0" borderId="0" xfId="0" applyNumberFormat="1"/>
    <xf numFmtId="164" fontId="0" fillId="0" borderId="5" xfId="0" applyNumberFormat="1" applyBorder="1"/>
    <xf numFmtId="0" fontId="0" fillId="0" borderId="0" xfId="0" applyAlignment="1">
      <alignment vertical="center" wrapText="1"/>
    </xf>
    <xf numFmtId="0" fontId="16" fillId="14" borderId="9" xfId="0" applyFont="1" applyFill="1" applyBorder="1"/>
    <xf numFmtId="0" fontId="16" fillId="14" borderId="10" xfId="0" applyFont="1" applyFill="1" applyBorder="1"/>
    <xf numFmtId="0" fontId="16" fillId="14" borderId="29" xfId="0" applyFont="1" applyFill="1" applyBorder="1"/>
    <xf numFmtId="0" fontId="0" fillId="14" borderId="28" xfId="0" applyFill="1" applyBorder="1"/>
    <xf numFmtId="0" fontId="0" fillId="14" borderId="29" xfId="0" applyFill="1" applyBorder="1"/>
    <xf numFmtId="0" fontId="0" fillId="14" borderId="10" xfId="0" applyFill="1" applyBorder="1"/>
    <xf numFmtId="0" fontId="0" fillId="14" borderId="11" xfId="0" applyFill="1" applyBorder="1"/>
    <xf numFmtId="0" fontId="15" fillId="14" borderId="9" xfId="0" applyFont="1" applyFill="1" applyBorder="1"/>
    <xf numFmtId="0" fontId="15" fillId="14" borderId="10" xfId="0" applyFont="1" applyFill="1" applyBorder="1"/>
    <xf numFmtId="0" fontId="16" fillId="14" borderId="11" xfId="0" applyFont="1" applyFill="1" applyBorder="1"/>
  </cellXfs>
  <cellStyles count="4">
    <cellStyle name="Hyperlink" xfId="1" builtinId="8"/>
    <cellStyle name="Neutral" xfId="2" builtinId="28"/>
    <cellStyle name="Normal" xfId="0" builtinId="0"/>
    <cellStyle name="Percent" xfId="3" builtinId="5"/>
  </cellStyles>
  <dxfs count="153">
    <dxf>
      <font>
        <color theme="9" tint="-0.24994659260841701"/>
      </font>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none">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tint="-0.14996795556505021"/>
      </font>
      <fill>
        <patternFill>
          <bgColor theme="0"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fill>
        <patternFill>
          <bgColor rgb="FFFFCCCC"/>
        </patternFill>
      </fill>
    </dxf>
    <dxf>
      <font>
        <color rgb="FFC00000"/>
      </font>
      <fill>
        <patternFill patternType="solid">
          <bgColor rgb="FFFFCCCC"/>
        </patternFill>
      </fill>
    </dxf>
    <dxf>
      <font>
        <color theme="9" tint="-0.24994659260841701"/>
      </font>
      <fill>
        <patternFill>
          <bgColor theme="9" tint="0.59996337778862885"/>
        </patternFill>
      </fill>
    </dxf>
    <dxf>
      <font>
        <color rgb="FF9C0006"/>
      </font>
      <fill>
        <patternFill>
          <bgColor rgb="FFFFC7CE"/>
        </patternFill>
      </fill>
    </dxf>
    <dxf>
      <font>
        <color rgb="FF006100"/>
      </font>
      <fill>
        <patternFill>
          <bgColor rgb="FFC6EFCE"/>
        </patternFill>
      </fill>
    </dxf>
    <dxf>
      <font>
        <color theme="1"/>
      </font>
      <fill>
        <patternFill patternType="none">
          <bgColor auto="1"/>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C00000"/>
      </font>
      <fill>
        <patternFill>
          <bgColor rgb="FFFFCCCC"/>
        </patternFill>
      </fill>
    </dxf>
    <dxf>
      <font>
        <color theme="9" tint="-0.24994659260841701"/>
      </font>
      <fill>
        <patternFill>
          <bgColor theme="9"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7" tint="-0.499984740745262"/>
      </font>
      <fill>
        <patternFill>
          <bgColor theme="7"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C00000"/>
      </font>
      <fill>
        <patternFill>
          <bgColor rgb="FFFFCCCC"/>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C00000"/>
      </font>
      <fill>
        <patternFill>
          <bgColor rgb="FFFFCCCC"/>
        </patternFill>
      </fill>
    </dxf>
    <dxf>
      <font>
        <color theme="9" tint="-0.24994659260841701"/>
      </font>
      <fill>
        <patternFill>
          <bgColor theme="9" tint="0.59996337778862885"/>
        </patternFill>
      </fill>
    </dxf>
  </dxfs>
  <tableStyles count="0" defaultTableStyle="TableStyleMedium2" defaultPivotStyle="PivotStyleLight16"/>
  <colors>
    <mruColors>
      <color rgb="FFD5CCF0"/>
      <color rgb="FFFEBEBE"/>
      <color rgb="FFF0BEFE"/>
      <color rgb="FFCC99FF"/>
      <color rgb="FFFFCCCC"/>
      <color rgb="FFFF9999"/>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Compass checks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339984449092685E-2"/>
          <c:y val="0.11690904021612686"/>
          <c:w val="0.83064389393914484"/>
          <c:h val="0.62773998427861499"/>
        </c:manualLayout>
      </c:layout>
      <c:scatterChart>
        <c:scatterStyle val="smoothMarker"/>
        <c:varyColors val="0"/>
        <c:ser>
          <c:idx val="0"/>
          <c:order val="0"/>
          <c:tx>
            <c:strRef>
              <c:f>constants!$C$33</c:f>
              <c:strCache>
                <c:ptCount val="1"/>
                <c:pt idx="0">
                  <c:v>Pre-cal compass check</c:v>
                </c:pt>
              </c:strCache>
            </c:strRef>
          </c:tx>
          <c:spPr>
            <a:ln w="19050" cap="rnd">
              <a:solidFill>
                <a:schemeClr val="accent1"/>
              </a:solidFill>
              <a:round/>
            </a:ln>
            <a:effectLst/>
          </c:spPr>
          <c:marker>
            <c:symbol val="none"/>
          </c:marker>
          <c:xVal>
            <c:numRef>
              <c:f>constants!$A$35:$A$43</c:f>
              <c:numCache>
                <c:formatCode>General</c:formatCode>
                <c:ptCount val="9"/>
                <c:pt idx="0">
                  <c:v>0</c:v>
                </c:pt>
                <c:pt idx="1">
                  <c:v>45</c:v>
                </c:pt>
                <c:pt idx="2">
                  <c:v>90</c:v>
                </c:pt>
                <c:pt idx="3">
                  <c:v>135</c:v>
                </c:pt>
                <c:pt idx="4">
                  <c:v>180</c:v>
                </c:pt>
                <c:pt idx="5">
                  <c:v>225</c:v>
                </c:pt>
                <c:pt idx="6">
                  <c:v>270</c:v>
                </c:pt>
                <c:pt idx="7">
                  <c:v>315</c:v>
                </c:pt>
                <c:pt idx="8">
                  <c:v>360</c:v>
                </c:pt>
              </c:numCache>
            </c:numRef>
          </c:xVal>
          <c:yVal>
            <c:numRef>
              <c:f>constants!$D$35:$D$43</c:f>
              <c:numCache>
                <c:formatCode>General</c:formatCode>
                <c:ptCount val="9"/>
                <c:pt idx="0">
                  <c:v>-360</c:v>
                </c:pt>
                <c:pt idx="1">
                  <c:v>-45</c:v>
                </c:pt>
                <c:pt idx="2">
                  <c:v>-90</c:v>
                </c:pt>
                <c:pt idx="3">
                  <c:v>-135</c:v>
                </c:pt>
                <c:pt idx="4">
                  <c:v>-180</c:v>
                </c:pt>
                <c:pt idx="5">
                  <c:v>-225</c:v>
                </c:pt>
                <c:pt idx="6">
                  <c:v>-270</c:v>
                </c:pt>
                <c:pt idx="7">
                  <c:v>-315</c:v>
                </c:pt>
                <c:pt idx="8">
                  <c:v>-360</c:v>
                </c:pt>
              </c:numCache>
            </c:numRef>
          </c:yVal>
          <c:smooth val="1"/>
          <c:extLst>
            <c:ext xmlns:c16="http://schemas.microsoft.com/office/drawing/2014/chart" uri="{C3380CC4-5D6E-409C-BE32-E72D297353CC}">
              <c16:uniqueId val="{00000000-7654-4871-9F44-438D77A48B9E}"/>
            </c:ext>
          </c:extLst>
        </c:ser>
        <c:ser>
          <c:idx val="1"/>
          <c:order val="1"/>
          <c:tx>
            <c:strRef>
              <c:f>constants!$F$33</c:f>
              <c:strCache>
                <c:ptCount val="1"/>
                <c:pt idx="0">
                  <c:v>Post-cal compass check</c:v>
                </c:pt>
              </c:strCache>
            </c:strRef>
          </c:tx>
          <c:spPr>
            <a:ln w="19050" cap="rnd">
              <a:solidFill>
                <a:schemeClr val="accent2"/>
              </a:solidFill>
              <a:round/>
            </a:ln>
            <a:effectLst/>
          </c:spPr>
          <c:marker>
            <c:symbol val="none"/>
          </c:marker>
          <c:xVal>
            <c:numRef>
              <c:f>constants!$A$35:$A$43</c:f>
              <c:numCache>
                <c:formatCode>General</c:formatCode>
                <c:ptCount val="9"/>
                <c:pt idx="0">
                  <c:v>0</c:v>
                </c:pt>
                <c:pt idx="1">
                  <c:v>45</c:v>
                </c:pt>
                <c:pt idx="2">
                  <c:v>90</c:v>
                </c:pt>
                <c:pt idx="3">
                  <c:v>135</c:v>
                </c:pt>
                <c:pt idx="4">
                  <c:v>180</c:v>
                </c:pt>
                <c:pt idx="5">
                  <c:v>225</c:v>
                </c:pt>
                <c:pt idx="6">
                  <c:v>270</c:v>
                </c:pt>
                <c:pt idx="7">
                  <c:v>315</c:v>
                </c:pt>
                <c:pt idx="8">
                  <c:v>360</c:v>
                </c:pt>
              </c:numCache>
            </c:numRef>
          </c:xVal>
          <c:yVal>
            <c:numRef>
              <c:f>constants!$G$35:$G$43</c:f>
              <c:numCache>
                <c:formatCode>General</c:formatCode>
                <c:ptCount val="9"/>
                <c:pt idx="0">
                  <c:v>-360</c:v>
                </c:pt>
                <c:pt idx="1">
                  <c:v>-45</c:v>
                </c:pt>
                <c:pt idx="2">
                  <c:v>-90</c:v>
                </c:pt>
                <c:pt idx="3">
                  <c:v>-135</c:v>
                </c:pt>
                <c:pt idx="4">
                  <c:v>-180</c:v>
                </c:pt>
                <c:pt idx="5">
                  <c:v>-225</c:v>
                </c:pt>
                <c:pt idx="6">
                  <c:v>-270</c:v>
                </c:pt>
                <c:pt idx="7">
                  <c:v>-315</c:v>
                </c:pt>
                <c:pt idx="8">
                  <c:v>-360</c:v>
                </c:pt>
              </c:numCache>
            </c:numRef>
          </c:yVal>
          <c:smooth val="1"/>
          <c:extLst>
            <c:ext xmlns:c16="http://schemas.microsoft.com/office/drawing/2014/chart" uri="{C3380CC4-5D6E-409C-BE32-E72D297353CC}">
              <c16:uniqueId val="{00000001-7654-4871-9F44-438D77A48B9E}"/>
            </c:ext>
          </c:extLst>
        </c:ser>
        <c:dLbls>
          <c:showLegendKey val="0"/>
          <c:showVal val="0"/>
          <c:showCatName val="0"/>
          <c:showSerName val="0"/>
          <c:showPercent val="0"/>
          <c:showBubbleSize val="0"/>
        </c:dLbls>
        <c:axId val="330043952"/>
        <c:axId val="330041600"/>
      </c:scatterChart>
      <c:valAx>
        <c:axId val="330043952"/>
        <c:scaling>
          <c:orientation val="minMax"/>
          <c:max val="360"/>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41600"/>
        <c:crosses val="max"/>
        <c:crossBetween val="midCat"/>
        <c:majorUnit val="45"/>
      </c:valAx>
      <c:valAx>
        <c:axId val="330041600"/>
        <c:scaling>
          <c:orientation val="minMax"/>
          <c:max val="20"/>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043952"/>
        <c:crosses val="autoZero"/>
        <c:crossBetween val="midCat"/>
        <c:majorUnit val="5"/>
      </c:valAx>
      <c:spPr>
        <a:noFill/>
        <a:ln>
          <a:noFill/>
        </a:ln>
        <a:effectLst/>
      </c:spPr>
    </c:plotArea>
    <c:legend>
      <c:legendPos val="r"/>
      <c:layout>
        <c:manualLayout>
          <c:xMode val="edge"/>
          <c:yMode val="edge"/>
          <c:x val="0.39834831717973207"/>
          <c:y val="0.81491772919248029"/>
          <c:w val="0.42068971105527858"/>
          <c:h val="0.18368759742595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154132</xdr:colOff>
      <xdr:row>155</xdr:row>
      <xdr:rowOff>40697</xdr:rowOff>
    </xdr:from>
    <xdr:to>
      <xdr:col>16</xdr:col>
      <xdr:colOff>849457</xdr:colOff>
      <xdr:row>176</xdr:row>
      <xdr:rowOff>60614</xdr:rowOff>
    </xdr:to>
    <xdr:graphicFrame macro="">
      <xdr:nvGraphicFramePr>
        <xdr:cNvPr id="6" name="Chart 5">
          <a:extLst>
            <a:ext uri="{FF2B5EF4-FFF2-40B4-BE49-F238E27FC236}">
              <a16:creationId xmlns:a16="http://schemas.microsoft.com/office/drawing/2014/main" id="{A99D1C8F-7C65-4B09-9C7A-6C4ABAC60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SOPs\Lab\NR-SL-SOP-LAB16_Slocum_Update%20GPS%20module.docx" TargetMode="External"/><Relationship Id="rId2" Type="http://schemas.openxmlformats.org/officeDocument/2006/relationships/hyperlink" Target="../SOPs/Lab/SLC-SOP-LAB06%20-%20Slocum_Radome_fin_service.docx" TargetMode="External"/><Relationship Id="rId1" Type="http://schemas.openxmlformats.org/officeDocument/2006/relationships/hyperlink" Target="GLD-CL-LAB05_Persistor-STM32_software-upgrade.xls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SOPs/Lab/DRAFT-SLC-SOP-LAB08%20-%20Slocum_SB_calibration_prep.doc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1048428"/>
  <sheetViews>
    <sheetView tabSelected="1" zoomScaleNormal="100" workbookViewId="0">
      <pane ySplit="1" topLeftCell="A296" activePane="bottomLeft" state="frozen"/>
      <selection activeCell="B1" sqref="B1"/>
      <selection pane="bottomLeft" activeCell="D331" sqref="D331"/>
    </sheetView>
  </sheetViews>
  <sheetFormatPr defaultRowHeight="15" outlineLevelRow="2" x14ac:dyDescent="0.25"/>
  <cols>
    <col min="1" max="1" width="4.28515625" customWidth="1"/>
    <col min="2" max="2" width="3.85546875" customWidth="1"/>
    <col min="3" max="3" width="28.140625" customWidth="1"/>
    <col min="4" max="4" width="142.42578125" bestFit="1" customWidth="1"/>
    <col min="5" max="5" width="15" customWidth="1"/>
    <col min="6" max="6" width="14.140625" style="3" customWidth="1"/>
    <col min="7" max="7" width="15.7109375" style="91" customWidth="1"/>
    <col min="8" max="8" width="11.85546875" customWidth="1"/>
    <col min="10" max="10" width="9.28515625" customWidth="1"/>
    <col min="11" max="11" width="15" customWidth="1"/>
    <col min="12" max="12" width="9.85546875" customWidth="1"/>
    <col min="13" max="13" width="11.28515625" customWidth="1"/>
    <col min="14" max="17" width="20.7109375" customWidth="1"/>
  </cols>
  <sheetData>
    <row r="1" spans="3:21" ht="53.25" customHeight="1" thickBot="1" x14ac:dyDescent="0.35">
      <c r="C1" s="57" t="s">
        <v>0</v>
      </c>
      <c r="D1" s="58" t="s">
        <v>1</v>
      </c>
      <c r="E1" s="58" t="s">
        <v>2</v>
      </c>
      <c r="F1" s="59" t="s">
        <v>3</v>
      </c>
      <c r="G1" s="59" t="s">
        <v>4</v>
      </c>
      <c r="H1" s="58" t="s">
        <v>5</v>
      </c>
      <c r="I1" s="191" t="s">
        <v>6</v>
      </c>
      <c r="J1" s="191"/>
      <c r="K1" s="191"/>
      <c r="L1" s="191"/>
      <c r="M1" s="191"/>
      <c r="N1" s="56" t="s">
        <v>7</v>
      </c>
      <c r="O1" s="56" t="s">
        <v>8</v>
      </c>
      <c r="P1" s="56" t="s">
        <v>9</v>
      </c>
      <c r="Q1" s="60" t="s">
        <v>10</v>
      </c>
    </row>
    <row r="2" spans="3:21" ht="15.75" thickBot="1" x14ac:dyDescent="0.3"/>
    <row r="3" spans="3:21" x14ac:dyDescent="0.25">
      <c r="C3" s="176" t="s">
        <v>11</v>
      </c>
      <c r="E3" s="176"/>
      <c r="F3" s="22"/>
      <c r="G3" s="192"/>
      <c r="H3" s="23"/>
      <c r="I3" s="23"/>
      <c r="J3" s="23"/>
      <c r="K3" s="23"/>
      <c r="L3" s="23"/>
      <c r="M3" s="24"/>
    </row>
    <row r="4" spans="3:21" x14ac:dyDescent="0.25">
      <c r="C4" t="s">
        <v>12</v>
      </c>
      <c r="F4" s="17"/>
      <c r="G4" s="3" t="s">
        <v>13</v>
      </c>
      <c r="H4" s="3"/>
      <c r="I4" s="3"/>
      <c r="J4" s="3"/>
      <c r="K4" s="3"/>
      <c r="L4" s="1"/>
      <c r="M4" s="18"/>
    </row>
    <row r="5" spans="3:21" x14ac:dyDescent="0.25">
      <c r="C5" t="s">
        <v>14</v>
      </c>
      <c r="F5" s="17"/>
      <c r="G5" s="3" t="s">
        <v>15</v>
      </c>
      <c r="H5" s="3"/>
      <c r="I5" s="3"/>
      <c r="J5" s="3"/>
      <c r="K5" s="3"/>
      <c r="L5" s="1"/>
      <c r="M5" s="18"/>
    </row>
    <row r="6" spans="3:21" x14ac:dyDescent="0.25">
      <c r="C6" s="87" t="s">
        <v>16</v>
      </c>
      <c r="F6" s="17"/>
      <c r="G6" s="3" t="s">
        <v>17</v>
      </c>
      <c r="H6" s="3"/>
      <c r="I6" s="3"/>
      <c r="J6" s="3"/>
      <c r="K6" s="3"/>
      <c r="L6" s="1"/>
      <c r="M6" s="18"/>
    </row>
    <row r="7" spans="3:21" x14ac:dyDescent="0.25">
      <c r="C7" t="s">
        <v>18</v>
      </c>
      <c r="F7" s="17"/>
      <c r="G7" s="3" t="s">
        <v>19</v>
      </c>
      <c r="H7" s="3"/>
      <c r="I7" s="3"/>
      <c r="J7" s="3"/>
      <c r="K7" s="3"/>
      <c r="L7" s="1"/>
      <c r="M7" s="18"/>
    </row>
    <row r="8" spans="3:21" x14ac:dyDescent="0.25">
      <c r="C8" s="11"/>
      <c r="D8" s="1"/>
      <c r="E8" s="1"/>
      <c r="F8" s="17"/>
      <c r="G8" s="3" t="s">
        <v>20</v>
      </c>
      <c r="H8" s="3"/>
      <c r="I8" s="3"/>
      <c r="J8" s="3"/>
      <c r="K8" s="3"/>
      <c r="L8" s="1"/>
      <c r="M8" s="18"/>
    </row>
    <row r="9" spans="3:21" x14ac:dyDescent="0.25">
      <c r="C9" s="11"/>
      <c r="D9" s="1"/>
      <c r="E9" s="1"/>
      <c r="F9" s="17"/>
      <c r="G9" s="177" t="s">
        <v>21</v>
      </c>
      <c r="H9" s="177"/>
      <c r="I9" s="177"/>
      <c r="J9" s="177"/>
      <c r="K9" s="177"/>
      <c r="L9" s="1"/>
      <c r="M9" s="18"/>
    </row>
    <row r="10" spans="3:21" ht="15.75" thickBot="1" x14ac:dyDescent="0.3">
      <c r="C10" s="167"/>
      <c r="D10" s="19"/>
      <c r="E10" s="19"/>
      <c r="F10" s="20"/>
      <c r="G10" s="93"/>
      <c r="H10" s="19"/>
      <c r="I10" s="19"/>
      <c r="J10" s="19"/>
      <c r="K10" s="19"/>
      <c r="L10" s="19"/>
      <c r="M10" s="21"/>
    </row>
    <row r="11" spans="3:21" ht="15.75" customHeight="1" thickBot="1" x14ac:dyDescent="0.3">
      <c r="C11" s="67"/>
      <c r="O11" t="s">
        <v>22</v>
      </c>
    </row>
    <row r="12" spans="3:21" ht="15" customHeight="1" x14ac:dyDescent="0.25">
      <c r="C12" s="104"/>
      <c r="D12" s="23" t="s">
        <v>23</v>
      </c>
      <c r="E12" s="23"/>
      <c r="F12" s="22"/>
      <c r="G12" s="92"/>
      <c r="H12" s="23"/>
      <c r="I12" s="23"/>
      <c r="J12" s="23"/>
      <c r="K12" s="23"/>
      <c r="L12" s="23"/>
      <c r="M12" s="23"/>
      <c r="N12" s="23"/>
      <c r="O12" s="23"/>
      <c r="P12" s="23"/>
      <c r="Q12" s="24"/>
      <c r="T12" s="122" t="s">
        <v>24</v>
      </c>
      <c r="U12" s="122" t="s">
        <v>25</v>
      </c>
    </row>
    <row r="13" spans="3:21" ht="15" customHeight="1" x14ac:dyDescent="0.25">
      <c r="C13" s="109">
        <f>SUMPRODUCT((F32:G40="y")+(F32:G40="n/a")+(F32:G40="na"))/SUMPRODUCT((F32:G40="y")+(F32:G40="n")+(F32:G40="n/a")+(F32:G40="na"))</f>
        <v>0</v>
      </c>
      <c r="D13" s="116" t="s">
        <v>26</v>
      </c>
      <c r="E13" s="154" t="s">
        <v>27</v>
      </c>
      <c r="F13" s="17"/>
      <c r="G13" s="153" t="s">
        <v>28</v>
      </c>
      <c r="H13" s="107"/>
      <c r="I13" s="108" t="s">
        <v>29</v>
      </c>
      <c r="J13" s="1"/>
      <c r="K13" s="139" t="s">
        <v>30</v>
      </c>
      <c r="L13" s="140"/>
      <c r="M13" s="141" t="s">
        <v>29</v>
      </c>
      <c r="N13" s="142"/>
      <c r="O13" s="1"/>
      <c r="P13" s="133" t="s">
        <v>31</v>
      </c>
      <c r="Q13" s="18"/>
      <c r="U13" t="s">
        <v>32</v>
      </c>
    </row>
    <row r="14" spans="3:21" ht="15" customHeight="1" x14ac:dyDescent="0.25">
      <c r="C14" s="109">
        <f>SUMPRODUCT((F43:G53="y")+(F43:G53="n/a")+(F43:G53="na"))/SUMPRODUCT((F43:G53="y")+(F43:G53="n")+(F43:G53="n/a")+(F43:G53="na"))</f>
        <v>0.375</v>
      </c>
      <c r="D14" s="117" t="s">
        <v>33</v>
      </c>
      <c r="E14" s="155" t="s">
        <v>27</v>
      </c>
      <c r="F14" s="17"/>
      <c r="G14" s="25" t="s">
        <v>34</v>
      </c>
      <c r="H14" s="105" t="s">
        <v>27</v>
      </c>
      <c r="I14" s="89" t="e">
        <f>IF((#REF!="user input"),0,#REF!)</f>
        <v>#REF!</v>
      </c>
      <c r="J14" s="1"/>
      <c r="K14" s="143" t="s">
        <v>36</v>
      </c>
      <c r="L14" t="s">
        <v>415</v>
      </c>
      <c r="M14" s="133"/>
      <c r="N14" s="144"/>
      <c r="O14" s="133" t="s">
        <v>37</v>
      </c>
      <c r="P14" s="133" t="s">
        <v>38</v>
      </c>
      <c r="Q14" s="88" t="s">
        <v>39</v>
      </c>
      <c r="U14" t="s">
        <v>40</v>
      </c>
    </row>
    <row r="15" spans="3:21" ht="15" customHeight="1" x14ac:dyDescent="0.25">
      <c r="C15" s="109" t="e">
        <f>SUMPRODUCT((F57:G177="y")+(F57:G177="n/a")+(F57:G177="na"))/SUMPRODUCT((F57:G177="y")+(F57:G177="n")+(F57:G177="n/a")+(F57:G177="na"))</f>
        <v>#REF!</v>
      </c>
      <c r="D15" s="117" t="s">
        <v>41</v>
      </c>
      <c r="E15" s="155" t="s">
        <v>27</v>
      </c>
      <c r="F15" s="17"/>
      <c r="G15" s="25" t="s">
        <v>42</v>
      </c>
      <c r="H15" s="105" t="s">
        <v>27</v>
      </c>
      <c r="I15" s="89" t="e">
        <f>IF((#REF!="user input"),0,#REF!)</f>
        <v>#REF!</v>
      </c>
      <c r="J15" s="1"/>
      <c r="K15" s="143" t="s">
        <v>43</v>
      </c>
      <c r="L15" t="s">
        <v>406</v>
      </c>
      <c r="M15" s="134" t="e">
        <f>IF((#REF!="user input"),0,#REF!)</f>
        <v>#REF!</v>
      </c>
      <c r="N15" s="144"/>
      <c r="O15" s="1" t="str">
        <f>IFERROR(INDEX($G$14:$G$26,_xlfn.AGGREGATE(15,6,ROW($G$14:$G$26)-ROW($G$14)+1/($G$14:$H$26=$O$11),ROWS(O$15:O15))), " ")</f>
        <v>RBR CT</v>
      </c>
      <c r="P15" s="1" t="str">
        <f>IFERROR(VLOOKUP(O15,constants!$K$3:$M$15,2,FALSE)," ")</f>
        <v>user input</v>
      </c>
      <c r="Q15" s="18" t="str">
        <f>IFERROR(VLOOKUP(O15,constants!$K$3:$M$15,3,FALSE)," ")</f>
        <v>user input</v>
      </c>
      <c r="U15" t="s">
        <v>44</v>
      </c>
    </row>
    <row r="16" spans="3:21" ht="15" customHeight="1" x14ac:dyDescent="0.25">
      <c r="C16" s="109">
        <f>SUMPRODUCT((F181:G201="y")+(F181:G201="n/a")+(F181:G201="na"))/SUMPRODUCT((F181:G201="y")+(F181:G201="n")+(F181:G201="n/a")+(F181:G201="na"))</f>
        <v>0</v>
      </c>
      <c r="D16" s="117" t="s">
        <v>45</v>
      </c>
      <c r="E16" s="155" t="s">
        <v>27</v>
      </c>
      <c r="F16" s="17"/>
      <c r="G16" s="25" t="s">
        <v>46</v>
      </c>
      <c r="H16" s="105" t="s">
        <v>35</v>
      </c>
      <c r="I16" s="89">
        <f>IF((P109="user input"),0,P109)</f>
        <v>0</v>
      </c>
      <c r="J16" s="1"/>
      <c r="K16" s="143" t="s">
        <v>47</v>
      </c>
      <c r="L16" t="s">
        <v>399</v>
      </c>
      <c r="M16" s="134">
        <f>IF((N95="user input"),0,N95)</f>
        <v>0</v>
      </c>
      <c r="N16" s="144" t="str">
        <f>IF(N58="user input", "input inflections below",  "inflections: " &amp; N58)</f>
        <v>input inflections below</v>
      </c>
      <c r="O16" s="1" t="str">
        <f>IFERROR(INDEX($G$14:$G$26,_xlfn.AGGREGATE(15,6,ROW($G$14:$G$26)-ROW($G$14)+1/($G$14:$H$26=$O$11),ROWS(O$15:O16))), " ")</f>
        <v>Optode</v>
      </c>
      <c r="P16" s="1" t="str">
        <f>IFERROR(VLOOKUP(O16,constants!$K$3:$M$15,2,FALSE)," ")</f>
        <v>user input</v>
      </c>
      <c r="Q16" s="18" t="str">
        <f>IFERROR(VLOOKUP(O16,constants!$K$3:$M$15,3,FALSE)," ")</f>
        <v>user input</v>
      </c>
      <c r="U16" t="s">
        <v>48</v>
      </c>
    </row>
    <row r="17" spans="3:23" ht="15" customHeight="1" x14ac:dyDescent="0.25">
      <c r="C17" s="109">
        <f>SUMPRODUCT((F206:G245="y")+(F206:G245="n/a")+(F206:G245="na"))/SUMPRODUCT((F206:G245="y")+(F206:G245="n")+(F206:G245="n/a")+(F206:G245="na"))</f>
        <v>5.5555555555555552E-2</v>
      </c>
      <c r="D17" s="117" t="s">
        <v>49</v>
      </c>
      <c r="E17" s="155" t="s">
        <v>27</v>
      </c>
      <c r="F17" s="17"/>
      <c r="G17" s="25" t="s">
        <v>50</v>
      </c>
      <c r="H17" s="105" t="s">
        <v>27</v>
      </c>
      <c r="I17" s="89" t="e">
        <f>IF((#REF!="user input"),0,#REF!)</f>
        <v>#REF!</v>
      </c>
      <c r="J17" s="1"/>
      <c r="K17" s="145" t="s">
        <v>51</v>
      </c>
      <c r="L17" s="110" t="s">
        <v>409</v>
      </c>
      <c r="M17" s="134">
        <f>IF((O95="user input"),0,O95)</f>
        <v>0</v>
      </c>
      <c r="N17" s="144"/>
      <c r="O17" s="1" t="str">
        <f>IFERROR(INDEX($G$14:$G$26,_xlfn.AGGREGATE(15,6,ROW($G$14:$G$26)-ROW($G$14)+1/($G$14:$H$26=$O$11),ROWS(O$15:O17))), " ")</f>
        <v>Satlantic PAR</v>
      </c>
      <c r="P17" s="1" t="str">
        <f>IFERROR(VLOOKUP(O17,constants!$K$3:$M$15,2,FALSE)," ")</f>
        <v>user input</v>
      </c>
      <c r="Q17" s="18" t="str">
        <f>IFERROR(VLOOKUP(O17,constants!$K$3:$M$15,3,FALSE)," ")</f>
        <v>user input</v>
      </c>
      <c r="U17" t="s">
        <v>52</v>
      </c>
    </row>
    <row r="18" spans="3:23" ht="15" customHeight="1" x14ac:dyDescent="0.25">
      <c r="C18" s="109">
        <f>SUMPRODUCT((F250:G275="y")+(F250:G275="n/a")+(F250:G275="na"))/SUMPRODUCT((F250:G275="y")+(F250:G275="n")+(F250:G275="n/a")+(F250:G275="na"))</f>
        <v>0.34782608695652173</v>
      </c>
      <c r="D18" s="118" t="s">
        <v>53</v>
      </c>
      <c r="E18" s="156" t="s">
        <v>27</v>
      </c>
      <c r="F18" s="17"/>
      <c r="G18" s="25" t="s">
        <v>54</v>
      </c>
      <c r="H18" s="105" t="s">
        <v>27</v>
      </c>
      <c r="I18" s="89">
        <f>IF((P115="user input"),0,P115)</f>
        <v>0</v>
      </c>
      <c r="J18" s="1"/>
      <c r="K18" s="145" t="s">
        <v>55</v>
      </c>
      <c r="L18" s="110" t="s">
        <v>417</v>
      </c>
      <c r="M18" s="134">
        <f>IF((N102="user input"),0,N102)</f>
        <v>0</v>
      </c>
      <c r="N18" s="144"/>
      <c r="O18" s="1" t="str">
        <f>IFERROR(INDEX($G$14:$G$26,_xlfn.AGGREGATE(15,6,ROW($G$14:$G$26)-ROW($G$14)+1/($G$14:$H$26=$O$11),ROWS(O$15:O18))), " ")</f>
        <v xml:space="preserve">ADCP down </v>
      </c>
      <c r="P18" s="1" t="str">
        <f>IFERROR(VLOOKUP(O18,constants!$K$3:$M$15,2,FALSE)," ")</f>
        <v>user input</v>
      </c>
      <c r="Q18" s="18" t="str">
        <f>IFERROR(VLOOKUP(O18,constants!$K$3:$M$15,3,FALSE)," ")</f>
        <v>user input</v>
      </c>
      <c r="U18" t="s">
        <v>56</v>
      </c>
    </row>
    <row r="19" spans="3:23" ht="15" customHeight="1" x14ac:dyDescent="0.25">
      <c r="C19" s="6"/>
      <c r="D19" s="1" t="s">
        <v>57</v>
      </c>
      <c r="E19" s="133"/>
      <c r="F19" s="17"/>
      <c r="G19" s="25" t="s">
        <v>58</v>
      </c>
      <c r="H19" s="105" t="s">
        <v>35</v>
      </c>
      <c r="I19" s="89">
        <f>IF((P124="user input"),0,P124)</f>
        <v>0</v>
      </c>
      <c r="J19" s="1"/>
      <c r="K19" s="143" t="s">
        <v>59</v>
      </c>
      <c r="L19" t="s">
        <v>393</v>
      </c>
      <c r="M19" s="134">
        <f>IF((P102="user input"),0,P102)</f>
        <v>0</v>
      </c>
      <c r="N19" s="144"/>
      <c r="O19" s="1" t="str">
        <f>IFERROR(INDEX($G$14:$G$26,_xlfn.AGGREGATE(15,6,ROW($G$14:$G$26)-ROW($G$14)+1/($G$14:$H$26=$O$11),ROWS(O$15:O19))), " ")</f>
        <v xml:space="preserve"> </v>
      </c>
      <c r="P19" s="1" t="str">
        <f>IFERROR(VLOOKUP(O19,constants!$K$3:$M$15,2,FALSE)," ")</f>
        <v xml:space="preserve"> </v>
      </c>
      <c r="Q19" s="18" t="str">
        <f>IFERROR(VLOOKUP(O19,constants!$K$3:$M$15,3,FALSE)," ")</f>
        <v xml:space="preserve"> </v>
      </c>
      <c r="R19" s="113"/>
      <c r="U19" t="s">
        <v>60</v>
      </c>
      <c r="V19" s="3"/>
      <c r="W19" s="16"/>
    </row>
    <row r="20" spans="3:23" ht="15" customHeight="1" x14ac:dyDescent="0.25">
      <c r="C20" s="109" t="e">
        <f>SUMPRODUCT((#REF!="y")+(#REF!="n/a")+(#REF!="na"))/SUMPRODUCT((#REF!="y")+(#REF!="n")+(#REF!="n/a")+(#REF!="na"))</f>
        <v>#REF!</v>
      </c>
      <c r="D20" s="116" t="s">
        <v>61</v>
      </c>
      <c r="E20" s="154" t="s">
        <v>27</v>
      </c>
      <c r="F20" s="17"/>
      <c r="G20" s="25" t="s">
        <v>62</v>
      </c>
      <c r="H20" s="105" t="s">
        <v>27</v>
      </c>
      <c r="I20" s="89" t="e">
        <f>IF((#REF!="user input"),0,#REF!)</f>
        <v>#REF!</v>
      </c>
      <c r="J20" s="1"/>
      <c r="K20" s="143" t="s">
        <v>63</v>
      </c>
      <c r="M20" s="134"/>
      <c r="N20" s="144"/>
      <c r="O20" s="1" t="str">
        <f>IFERROR(INDEX($G$14:$G$26,_xlfn.AGGREGATE(15,6,ROW($G$14:$G$26)-ROW($G$14)+1/($G$14:$H$26=$O$11),ROWS(O$15:O20))), " ")</f>
        <v xml:space="preserve"> </v>
      </c>
      <c r="P20" s="1" t="str">
        <f>IFERROR(VLOOKUP(O20,constants!$K$3:$M$15,2,FALSE)," ")</f>
        <v xml:space="preserve"> </v>
      </c>
      <c r="Q20" s="18" t="str">
        <f>IFERROR(VLOOKUP(O20,constants!$K$3:$M$15,3,FALSE)," ")</f>
        <v xml:space="preserve"> </v>
      </c>
      <c r="R20" s="113"/>
      <c r="U20" t="s">
        <v>64</v>
      </c>
      <c r="W20" s="16"/>
    </row>
    <row r="21" spans="3:23" ht="15" customHeight="1" x14ac:dyDescent="0.25">
      <c r="C21" s="109">
        <f>SUMPRODUCT((F284:G290="y")+(F284:G290="n/a")+(F284:G290="na"))/SUMPRODUCT((F284:G290="y")+(F284:G290="n")+(F284:G290="n/a")+(F284:G290="na"))</f>
        <v>0.16666666666666666</v>
      </c>
      <c r="D21" s="25" t="s">
        <v>65</v>
      </c>
      <c r="E21" s="155" t="s">
        <v>27</v>
      </c>
      <c r="F21" s="17"/>
      <c r="G21" s="25" t="s">
        <v>66</v>
      </c>
      <c r="H21" s="105" t="s">
        <v>35</v>
      </c>
      <c r="I21" s="89">
        <f>IF((P129="user input"),0,P129)</f>
        <v>0</v>
      </c>
      <c r="J21" s="1"/>
      <c r="K21" s="146"/>
      <c r="L21" s="135" t="s">
        <v>67</v>
      </c>
      <c r="M21" s="134">
        <f>IF((O84="user input"),0,O84)</f>
        <v>0</v>
      </c>
      <c r="N21" s="144"/>
      <c r="O21" s="1" t="str">
        <f>IFERROR(INDEX($G$14:$G$26,_xlfn.AGGREGATE(15,6,ROW($G$14:$G$26)-ROW($G$14)+1/($G$14:$H$26=$O$11),ROWS(O$15:O21))), " ")</f>
        <v xml:space="preserve"> </v>
      </c>
      <c r="P21" s="1" t="str">
        <f>IFERROR(VLOOKUP(O21,constants!$K$3:$M$15,2,FALSE)," ")</f>
        <v xml:space="preserve"> </v>
      </c>
      <c r="Q21" s="18" t="str">
        <f>IFERROR(VLOOKUP(O21,constants!$K$3:$M$15,3,FALSE)," ")</f>
        <v xml:space="preserve"> </v>
      </c>
      <c r="R21" s="113"/>
      <c r="U21" t="s">
        <v>68</v>
      </c>
      <c r="W21" s="16"/>
    </row>
    <row r="22" spans="3:23" ht="15" customHeight="1" x14ac:dyDescent="0.25">
      <c r="C22" s="109">
        <f>SUMPRODUCT((F293:G302="y")+(F293:G302="n/a")+(F293:G302="na"))/SUMPRODUCT((F293:G302="y")+(F293:G302="n")+(F293:G302="n/a")+(F293:G302="na"))</f>
        <v>0.22222222222222221</v>
      </c>
      <c r="D22" s="25" t="s">
        <v>69</v>
      </c>
      <c r="E22" s="155" t="s">
        <v>27</v>
      </c>
      <c r="F22" s="17"/>
      <c r="G22" s="25" t="s">
        <v>70</v>
      </c>
      <c r="H22" s="105" t="s">
        <v>27</v>
      </c>
      <c r="I22" s="89" t="e">
        <f>IF((#REF!="user input"),0,#REF!)</f>
        <v>#REF!</v>
      </c>
      <c r="J22" s="1"/>
      <c r="K22" s="147"/>
      <c r="L22" s="135" t="s">
        <v>71</v>
      </c>
      <c r="M22" s="134">
        <f>IF((N84="user input"),0,N84)</f>
        <v>0</v>
      </c>
      <c r="N22" s="144" t="str">
        <f>IF(O86="user input", "input pitch weight below", "pitch weight: " &amp; O86 &amp; " g")</f>
        <v>input pitch weight below</v>
      </c>
      <c r="O22" s="1" t="str">
        <f>IFERROR(INDEX($G$14:$G$26,_xlfn.AGGREGATE(15,6,ROW($G$14:$G$26)-ROW($G$14)+1/($G$14:$H$26=$O$11),ROWS(O$15:O22))), " ")</f>
        <v xml:space="preserve"> </v>
      </c>
      <c r="P22" s="1" t="str">
        <f>IFERROR(VLOOKUP(O22,constants!$K$3:$M$15,2,FALSE)," ")</f>
        <v xml:space="preserve"> </v>
      </c>
      <c r="Q22" s="18" t="str">
        <f>IFERROR(VLOOKUP(O22,constants!$K$3:$M$15,3,FALSE)," ")</f>
        <v xml:space="preserve"> </v>
      </c>
      <c r="R22" s="113"/>
      <c r="U22" t="s">
        <v>72</v>
      </c>
      <c r="W22" s="16"/>
    </row>
    <row r="23" spans="3:23" ht="15" customHeight="1" x14ac:dyDescent="0.25">
      <c r="C23" s="109">
        <f>SUMPRODUCT((F306:G319="y")+(F306:G319="n/a")+(F306:G319="na"))/SUMPRODUCT((F306:G319="y")+(F306:G319="n")+(F306:G319="n/a")+(F306:G319="na"))</f>
        <v>8.3333333333333329E-2</v>
      </c>
      <c r="D23" s="25" t="s">
        <v>73</v>
      </c>
      <c r="E23" s="155" t="s">
        <v>27</v>
      </c>
      <c r="F23" s="17"/>
      <c r="G23" s="25" t="s">
        <v>74</v>
      </c>
      <c r="H23" s="105" t="s">
        <v>35</v>
      </c>
      <c r="I23" s="89">
        <f>IF((P135="user input"),0,P135)</f>
        <v>0</v>
      </c>
      <c r="J23" s="1"/>
      <c r="K23" s="147"/>
      <c r="L23" s="135" t="s">
        <v>75</v>
      </c>
      <c r="M23" s="134">
        <f>IF((P84="user input"),0,P84)</f>
        <v>0</v>
      </c>
      <c r="N23" s="144"/>
      <c r="O23" s="1" t="str">
        <f>IFERROR(INDEX($G$14:$G$26,_xlfn.AGGREGATE(15,6,ROW($G$14:$G$26)-ROW($G$14)+1/($G$14:$H$26=$O$11),ROWS(O$15:O23))), " ")</f>
        <v xml:space="preserve"> </v>
      </c>
      <c r="P23" s="1" t="str">
        <f>IFERROR(VLOOKUP(O23,constants!$K$3:$M$15,2,FALSE)," ")</f>
        <v xml:space="preserve"> </v>
      </c>
      <c r="Q23" s="18" t="str">
        <f>IFERROR(VLOOKUP(O23,constants!$K$3:$M$15,3,FALSE)," ")</f>
        <v xml:space="preserve"> </v>
      </c>
      <c r="R23" s="113"/>
      <c r="V23" s="106"/>
      <c r="W23" s="110"/>
    </row>
    <row r="24" spans="3:23" ht="15" customHeight="1" x14ac:dyDescent="0.25">
      <c r="C24" s="109">
        <f>SUMPRODUCT((F322:G326="y")+(F322:G326="n/a")+(F322:G326="na"))/SUMPRODUCT((F322:G326="y")+(F322:G326="n")+(F322:G326="n/a")+(F322:G326="na"))</f>
        <v>0</v>
      </c>
      <c r="D24" s="26" t="s">
        <v>76</v>
      </c>
      <c r="E24" s="156" t="s">
        <v>27</v>
      </c>
      <c r="F24" s="17"/>
      <c r="G24" s="25" t="s">
        <v>77</v>
      </c>
      <c r="H24" s="105" t="s">
        <v>27</v>
      </c>
      <c r="I24" s="89" t="e">
        <f>IF((#REF!="user input"),0,#REF!)</f>
        <v>#REF!</v>
      </c>
      <c r="J24" s="1"/>
      <c r="K24" s="147"/>
      <c r="L24" s="135" t="s">
        <v>78</v>
      </c>
      <c r="M24" s="134">
        <f>IF((Q84="user input"),0,Q84)</f>
        <v>0</v>
      </c>
      <c r="N24" s="144"/>
      <c r="O24" s="1" t="str">
        <f>IFERROR(INDEX($G$14:$G$26,_xlfn.AGGREGATE(15,6,ROW($G$14:$G$26)-ROW($G$14)+1/($G$14:$H$26=$O$11),ROWS(O$15:O24))), " ")</f>
        <v xml:space="preserve"> </v>
      </c>
      <c r="P24" s="1" t="str">
        <f>IFERROR(VLOOKUP(O24,constants!$K$3:$M$15,2,FALSE)," ")</f>
        <v xml:space="preserve"> </v>
      </c>
      <c r="Q24" s="18" t="str">
        <f>IFERROR(VLOOKUP(O24,constants!$K$3:$M$15,3,FALSE)," ")</f>
        <v xml:space="preserve"> </v>
      </c>
      <c r="R24" s="113"/>
      <c r="W24" s="112"/>
    </row>
    <row r="25" spans="3:23" ht="15" customHeight="1" x14ac:dyDescent="0.25">
      <c r="C25" s="6"/>
      <c r="D25" s="1"/>
      <c r="E25" s="1"/>
      <c r="F25" s="17"/>
      <c r="G25" s="25" t="s">
        <v>79</v>
      </c>
      <c r="H25" s="105" t="s">
        <v>27</v>
      </c>
      <c r="I25" s="89" t="e">
        <f>IF((#REF!="user input"),0,#REF!)</f>
        <v>#REF!</v>
      </c>
      <c r="J25" s="1"/>
      <c r="K25" s="148" t="s">
        <v>80</v>
      </c>
      <c r="L25" s="136" t="str">
        <f>IF(ISNUMBER(SEARCH("ext",L19)),L14,"")</f>
        <v/>
      </c>
      <c r="M25" s="134" t="e">
        <f>IF((#REF!="user input"),0,#REF!)</f>
        <v>#REF!</v>
      </c>
      <c r="N25" s="144"/>
      <c r="O25" s="1" t="str">
        <f>IFERROR(INDEX($G$14:$G$26,_xlfn.AGGREGATE(15,6,ROW($G$14:$G$26)-ROW($G$14)+1/($G$14:$H$26=$O$11),ROWS(O$15:O25))), " ")</f>
        <v xml:space="preserve"> </v>
      </c>
      <c r="P25" s="1" t="str">
        <f>IFERROR(VLOOKUP(O25,constants!$K$3:$M$15,2,FALSE)," ")</f>
        <v xml:space="preserve"> </v>
      </c>
      <c r="Q25" s="18" t="str">
        <f>IFERROR(VLOOKUP(O25,constants!$K$3:$M$15,3,FALSE)," ")</f>
        <v xml:space="preserve"> </v>
      </c>
      <c r="R25" s="113"/>
      <c r="W25" s="112"/>
    </row>
    <row r="26" spans="3:23" ht="15" customHeight="1" x14ac:dyDescent="0.25">
      <c r="C26" s="6"/>
      <c r="D26" s="135" t="s">
        <v>81</v>
      </c>
      <c r="E26" s="1"/>
      <c r="F26" s="17"/>
      <c r="G26" s="26" t="s">
        <v>82</v>
      </c>
      <c r="H26" s="90" t="s">
        <v>27</v>
      </c>
      <c r="I26" s="115" t="e">
        <f>IF((#REF!="user input"),0,#REF!)</f>
        <v>#REF!</v>
      </c>
      <c r="J26" s="1"/>
      <c r="K26" s="147"/>
      <c r="L26" s="137" t="s">
        <v>83</v>
      </c>
      <c r="M26" s="134" t="str">
        <f>IF((N48="user input"),0,N48)</f>
        <v>-</v>
      </c>
      <c r="N26" s="144"/>
      <c r="O26" s="1" t="str">
        <f>IFERROR(INDEX($G$14:$G$26,_xlfn.AGGREGATE(15,6,ROW($G$14:$G$26)-ROW($G$14)+1/($G$14:$H$26=$O$11),ROWS(O$15:O26))), " ")</f>
        <v xml:space="preserve"> </v>
      </c>
      <c r="P26" s="1" t="str">
        <f>IFERROR(VLOOKUP(O26,constants!$K$3:$M$15,2,FALSE)," ")</f>
        <v xml:space="preserve"> </v>
      </c>
      <c r="Q26" s="18" t="str">
        <f>IFERROR(VLOOKUP(O26,constants!$K$3:$M$15,3,FALSE)," ")</f>
        <v xml:space="preserve"> </v>
      </c>
      <c r="T26" s="122" t="s">
        <v>84</v>
      </c>
    </row>
    <row r="27" spans="3:23" ht="15" customHeight="1" x14ac:dyDescent="0.25">
      <c r="C27" s="6"/>
      <c r="D27" s="135" t="s">
        <v>85</v>
      </c>
      <c r="E27" s="1" t="str">
        <f>N151</f>
        <v>user input</v>
      </c>
      <c r="F27" s="17"/>
      <c r="G27" s="138"/>
      <c r="H27" s="1"/>
      <c r="I27" s="1"/>
      <c r="J27" s="1"/>
      <c r="K27" s="149"/>
      <c r="L27" s="150" t="s">
        <v>86</v>
      </c>
      <c r="M27" s="151" t="str">
        <f>IF((O48="user input"),0,O48)</f>
        <v>-</v>
      </c>
      <c r="N27" s="152"/>
      <c r="O27" s="1"/>
      <c r="P27" s="1" t="str">
        <f>IFERROR(VLOOKUP(O27,constants!$K$3:$M$15,2,FALSE)," ")</f>
        <v xml:space="preserve"> </v>
      </c>
      <c r="Q27" s="18" t="str">
        <f>IFERROR(VLOOKUP(O27,constants!$K$3:$M$15,3,FALSE)," ")</f>
        <v xml:space="preserve"> </v>
      </c>
      <c r="T27" s="122"/>
    </row>
    <row r="28" spans="3:23" ht="15" customHeight="1" x14ac:dyDescent="0.25">
      <c r="C28" s="6"/>
      <c r="D28" s="135" t="s">
        <v>87</v>
      </c>
      <c r="E28" s="1" t="str">
        <f>N22</f>
        <v>input pitch weight below</v>
      </c>
      <c r="F28" s="17"/>
      <c r="G28" s="138"/>
      <c r="H28" s="1"/>
      <c r="I28" s="1"/>
      <c r="J28" s="1"/>
      <c r="K28" s="1"/>
      <c r="L28" s="1" t="str">
        <f>N151</f>
        <v>user input</v>
      </c>
      <c r="M28" s="1"/>
      <c r="N28" s="1"/>
      <c r="O28" s="1"/>
      <c r="P28" s="1" t="str">
        <f>IFERROR(VLOOKUP(O28,constants!$K$3:$M$15,2,FALSE)," ")</f>
        <v xml:space="preserve"> </v>
      </c>
      <c r="Q28" s="18" t="str">
        <f>IFERROR(VLOOKUP(O28,constants!$K$3:$M$15,3,FALSE)," ")</f>
        <v xml:space="preserve"> </v>
      </c>
    </row>
    <row r="29" spans="3:23" ht="15.75" customHeight="1" thickBot="1" x14ac:dyDescent="0.3">
      <c r="C29" s="13"/>
      <c r="D29" s="19"/>
      <c r="E29" s="19"/>
      <c r="F29" s="20"/>
      <c r="G29" s="93"/>
      <c r="H29" s="19"/>
      <c r="I29" s="19"/>
      <c r="J29" s="19"/>
      <c r="K29" s="19"/>
      <c r="L29" s="19"/>
      <c r="M29" s="19"/>
      <c r="N29" s="19"/>
      <c r="O29" s="19"/>
      <c r="P29" s="19"/>
      <c r="Q29" s="21"/>
      <c r="T29" t="s">
        <v>88</v>
      </c>
    </row>
    <row r="30" spans="3:23" ht="15" customHeight="1" thickBot="1" x14ac:dyDescent="0.3">
      <c r="U30" t="s">
        <v>89</v>
      </c>
    </row>
    <row r="31" spans="3:23" ht="28.5" customHeight="1" thickBot="1" x14ac:dyDescent="0.4">
      <c r="C31" s="174" t="str">
        <f>D13</f>
        <v>Office</v>
      </c>
      <c r="D31" s="175"/>
      <c r="E31" s="175"/>
      <c r="F31" s="14" t="s">
        <v>90</v>
      </c>
      <c r="G31" s="95" t="str">
        <f>IF(E13="y",IF(AND(G32="complete",G35="complete",#REF!="complete"), "Section Complete", "Section Incomplete"),"Section N/A")</f>
        <v>Section N/A</v>
      </c>
      <c r="H31" s="15" t="s">
        <v>91</v>
      </c>
      <c r="I31" s="169" t="s">
        <v>92</v>
      </c>
      <c r="J31" s="169"/>
      <c r="K31" s="169"/>
      <c r="L31" s="169"/>
      <c r="M31" s="170"/>
      <c r="N31" s="69"/>
      <c r="O31" s="33"/>
      <c r="P31" s="33"/>
      <c r="Q31" s="70"/>
    </row>
    <row r="32" spans="3:23" ht="14.25" customHeight="1" outlineLevel="1" x14ac:dyDescent="0.25">
      <c r="C32" s="187" t="s">
        <v>93</v>
      </c>
      <c r="D32" s="188"/>
      <c r="E32" s="188"/>
      <c r="F32" s="188"/>
      <c r="G32" s="94" t="str">
        <f>IF(COUNTIF(F33:G34,"y")+COUNTIF(F33:G34,"na")+COUNTIF(F33:G34,"n/a")=COUNTA(F33:G34), "Complete", "Incomplete")</f>
        <v>Incomplete</v>
      </c>
      <c r="H32" s="61"/>
      <c r="I32" s="23"/>
      <c r="J32" s="23"/>
      <c r="K32" s="23"/>
      <c r="L32" s="23"/>
      <c r="M32" s="24"/>
      <c r="N32" s="23"/>
      <c r="O32" s="23"/>
      <c r="P32" s="23"/>
      <c r="Q32" s="24"/>
    </row>
    <row r="33" spans="1:17" outlineLevel="1" x14ac:dyDescent="0.25">
      <c r="A33" s="87"/>
      <c r="B33" s="87"/>
      <c r="C33" s="6"/>
      <c r="D33" t="s">
        <v>449</v>
      </c>
      <c r="F33" s="168" t="s">
        <v>94</v>
      </c>
      <c r="G33" s="168"/>
      <c r="H33" s="62"/>
      <c r="I33" s="77"/>
      <c r="J33" s="77"/>
      <c r="K33" s="77"/>
      <c r="L33" s="77"/>
      <c r="M33" s="161"/>
      <c r="N33" s="65" t="s">
        <v>95</v>
      </c>
      <c r="O33" s="65" t="s">
        <v>95</v>
      </c>
      <c r="P33" s="65" t="s">
        <v>95</v>
      </c>
      <c r="Q33" s="66" t="s">
        <v>95</v>
      </c>
    </row>
    <row r="34" spans="1:17" outlineLevel="1" x14ac:dyDescent="0.25">
      <c r="A34" s="87"/>
      <c r="B34" s="87"/>
      <c r="C34" s="6"/>
      <c r="D34" t="s">
        <v>96</v>
      </c>
      <c r="F34" s="168" t="s">
        <v>94</v>
      </c>
      <c r="G34" s="168"/>
      <c r="H34" s="62"/>
      <c r="I34" s="77"/>
      <c r="J34" s="77"/>
      <c r="K34" s="77"/>
      <c r="L34" s="77"/>
      <c r="M34" s="161"/>
      <c r="N34" s="65" t="s">
        <v>95</v>
      </c>
      <c r="O34" s="65" t="s">
        <v>95</v>
      </c>
      <c r="P34" s="65" t="s">
        <v>95</v>
      </c>
      <c r="Q34" s="66" t="s">
        <v>95</v>
      </c>
    </row>
    <row r="35" spans="1:17" outlineLevel="1" x14ac:dyDescent="0.25">
      <c r="C35" s="171" t="s">
        <v>97</v>
      </c>
      <c r="D35" s="172"/>
      <c r="E35" s="172"/>
      <c r="F35" s="172"/>
      <c r="G35" s="91" t="str">
        <f>IF(COUNTIF(F36:G38,"y")+COUNTIF(F36:G38,"na")+COUNTIF(F36:G38,"n/a")=COUNTA(F36:G38), "Complete", "Incomplete")</f>
        <v>Incomplete</v>
      </c>
      <c r="H35" s="63"/>
      <c r="I35" s="1"/>
      <c r="J35" s="1"/>
      <c r="K35" s="1"/>
      <c r="L35" s="1"/>
      <c r="M35" s="18"/>
      <c r="N35" s="1"/>
      <c r="O35" s="1"/>
      <c r="P35" s="1"/>
      <c r="Q35" s="18"/>
    </row>
    <row r="36" spans="1:17" outlineLevel="1" x14ac:dyDescent="0.25">
      <c r="C36" s="6"/>
      <c r="D36" t="s">
        <v>98</v>
      </c>
      <c r="F36" s="168" t="s">
        <v>94</v>
      </c>
      <c r="G36" s="168"/>
      <c r="H36" s="62"/>
      <c r="I36" s="77"/>
      <c r="J36" s="77"/>
      <c r="K36" s="77"/>
      <c r="L36" s="77"/>
      <c r="M36" s="161"/>
      <c r="N36" s="65" t="s">
        <v>95</v>
      </c>
      <c r="O36" s="65" t="s">
        <v>95</v>
      </c>
      <c r="P36" s="65" t="s">
        <v>95</v>
      </c>
      <c r="Q36" s="66" t="s">
        <v>95</v>
      </c>
    </row>
    <row r="37" spans="1:17" outlineLevel="1" x14ac:dyDescent="0.25">
      <c r="C37" s="6"/>
      <c r="D37" t="s">
        <v>99</v>
      </c>
      <c r="F37" s="168" t="s">
        <v>94</v>
      </c>
      <c r="G37" s="168"/>
      <c r="H37" s="62"/>
      <c r="I37" s="77"/>
      <c r="J37" s="77"/>
      <c r="K37" s="77"/>
      <c r="L37" s="77"/>
      <c r="M37" s="161"/>
      <c r="N37" s="65" t="s">
        <v>95</v>
      </c>
      <c r="O37" s="65" t="s">
        <v>95</v>
      </c>
      <c r="P37" s="65" t="s">
        <v>95</v>
      </c>
      <c r="Q37" s="66" t="s">
        <v>95</v>
      </c>
    </row>
    <row r="38" spans="1:17" outlineLevel="1" x14ac:dyDescent="0.25">
      <c r="A38" t="s">
        <v>100</v>
      </c>
      <c r="C38" s="6"/>
      <c r="D38" s="190" t="s">
        <v>455</v>
      </c>
      <c r="F38" s="168" t="s">
        <v>94</v>
      </c>
      <c r="G38" s="168"/>
      <c r="H38" s="62"/>
      <c r="I38" s="77"/>
      <c r="J38" s="77"/>
      <c r="K38" s="77"/>
      <c r="L38" s="77"/>
      <c r="M38" s="161"/>
      <c r="N38" s="65" t="s">
        <v>95</v>
      </c>
      <c r="O38" s="65" t="s">
        <v>95</v>
      </c>
      <c r="P38" s="65" t="s">
        <v>95</v>
      </c>
      <c r="Q38" s="66" t="s">
        <v>95</v>
      </c>
    </row>
    <row r="39" spans="1:17" outlineLevel="1" x14ac:dyDescent="0.25">
      <c r="A39" t="s">
        <v>102</v>
      </c>
      <c r="C39" s="171" t="s">
        <v>103</v>
      </c>
      <c r="D39" s="172"/>
      <c r="E39" s="172"/>
      <c r="F39" s="172"/>
      <c r="G39" s="91" t="str">
        <f>IF(COUNTIF(F40:G40,"Y")+COUNTIF(F40:G40,"na")+COUNTIF(F40:G40,"n/a")=COUNTA(F40:G40), "Complete", "Incomplete")</f>
        <v>Incomplete</v>
      </c>
      <c r="H39" s="62"/>
      <c r="I39" s="77"/>
      <c r="J39" s="77"/>
      <c r="K39" s="77"/>
      <c r="L39" s="77"/>
      <c r="M39" s="161"/>
      <c r="N39" s="65" t="s">
        <v>95</v>
      </c>
      <c r="O39" s="65" t="s">
        <v>95</v>
      </c>
      <c r="P39" s="65" t="s">
        <v>95</v>
      </c>
      <c r="Q39" s="66" t="s">
        <v>95</v>
      </c>
    </row>
    <row r="40" spans="1:17" ht="15.75" outlineLevel="1" thickBot="1" x14ac:dyDescent="0.3">
      <c r="C40" s="13"/>
      <c r="D40" s="184" t="s">
        <v>450</v>
      </c>
      <c r="E40" s="184"/>
      <c r="F40" s="189" t="s">
        <v>94</v>
      </c>
      <c r="G40" s="189"/>
      <c r="H40" s="73"/>
      <c r="I40" s="162"/>
      <c r="J40" s="162"/>
      <c r="K40" s="162"/>
      <c r="L40" s="162"/>
      <c r="M40" s="163"/>
      <c r="N40" s="158" t="s">
        <v>95</v>
      </c>
      <c r="O40" s="159" t="s">
        <v>95</v>
      </c>
      <c r="P40" s="159" t="s">
        <v>95</v>
      </c>
      <c r="Q40" s="160" t="s">
        <v>95</v>
      </c>
    </row>
    <row r="41" spans="1:17" ht="15.75" thickBot="1" x14ac:dyDescent="0.3">
      <c r="C41" s="47"/>
      <c r="D41" s="52"/>
      <c r="E41" s="52"/>
      <c r="F41" s="53"/>
      <c r="G41" s="102"/>
      <c r="H41" s="54"/>
      <c r="I41" s="54"/>
      <c r="J41" s="54"/>
      <c r="K41" s="54"/>
      <c r="L41" s="54"/>
      <c r="M41" s="55"/>
      <c r="N41" s="47"/>
      <c r="O41" s="48"/>
      <c r="P41" s="48"/>
      <c r="Q41" s="49"/>
    </row>
    <row r="42" spans="1:17" ht="28.5" customHeight="1" thickBot="1" x14ac:dyDescent="0.4">
      <c r="C42" s="174" t="str">
        <f>D14</f>
        <v>Mid Life Upgrade / Major Component replacement i.e fin</v>
      </c>
      <c r="D42" s="175"/>
      <c r="E42" s="175"/>
      <c r="F42" s="14" t="s">
        <v>90</v>
      </c>
      <c r="G42" s="95" t="str">
        <f>IF(E14="Y",IF(AND(G43="complete",G49="complete",G52="complete"), "Section Complete", "Section Incomplete"),"Section N/A")</f>
        <v>Section N/A</v>
      </c>
      <c r="H42" s="15" t="s">
        <v>91</v>
      </c>
      <c r="I42" s="169" t="s">
        <v>92</v>
      </c>
      <c r="J42" s="169"/>
      <c r="K42" s="169"/>
      <c r="L42" s="169"/>
      <c r="M42" s="170"/>
      <c r="N42" s="37"/>
      <c r="O42" s="33"/>
      <c r="P42" s="33"/>
      <c r="Q42" s="38"/>
    </row>
    <row r="43" spans="1:17" ht="14.25" customHeight="1" outlineLevel="1" x14ac:dyDescent="0.25">
      <c r="C43" s="171" t="s">
        <v>67</v>
      </c>
      <c r="D43" s="172"/>
      <c r="E43" s="172"/>
      <c r="F43" s="172"/>
      <c r="G43" s="91" t="str">
        <f>IF(COUNTIF(F44:G48,"Y")+COUNTIF(F44:G48,"na")+COUNTIF(F44:G48,"n/a")=COUNTA(F44:G48), "Complete", "Incomplete")</f>
        <v>Incomplete</v>
      </c>
      <c r="H43" s="61"/>
      <c r="I43" s="23"/>
      <c r="J43" s="23"/>
      <c r="K43" s="23"/>
      <c r="L43" s="23"/>
      <c r="M43" s="24"/>
      <c r="N43" s="6" t="s">
        <v>104</v>
      </c>
      <c r="O43" s="1" t="s">
        <v>105</v>
      </c>
      <c r="P43" s="1"/>
      <c r="Q43" s="18"/>
    </row>
    <row r="44" spans="1:17" ht="15" customHeight="1" outlineLevel="1" x14ac:dyDescent="0.25">
      <c r="C44" s="6"/>
      <c r="D44" t="s">
        <v>106</v>
      </c>
      <c r="F44" s="168" t="s">
        <v>107</v>
      </c>
      <c r="G44" s="168"/>
      <c r="H44" s="62"/>
      <c r="M44" s="12"/>
      <c r="N44" s="11" t="s">
        <v>108</v>
      </c>
      <c r="O44" s="65" t="s">
        <v>108</v>
      </c>
      <c r="P44" s="65" t="s">
        <v>95</v>
      </c>
      <c r="Q44" s="66" t="s">
        <v>95</v>
      </c>
    </row>
    <row r="45" spans="1:17" ht="15" customHeight="1" outlineLevel="1" x14ac:dyDescent="0.25">
      <c r="C45" s="6"/>
      <c r="D45" t="s">
        <v>109</v>
      </c>
      <c r="F45" s="168" t="s">
        <v>107</v>
      </c>
      <c r="G45" s="168"/>
      <c r="H45" s="62"/>
      <c r="M45" s="12"/>
      <c r="N45" s="11" t="s">
        <v>108</v>
      </c>
      <c r="O45" s="65" t="s">
        <v>108</v>
      </c>
      <c r="P45" s="65" t="s">
        <v>95</v>
      </c>
      <c r="Q45" s="66" t="s">
        <v>95</v>
      </c>
    </row>
    <row r="46" spans="1:17" ht="15" customHeight="1" outlineLevel="1" x14ac:dyDescent="0.25">
      <c r="C46" s="6"/>
      <c r="D46" t="s">
        <v>110</v>
      </c>
      <c r="F46" s="168" t="s">
        <v>107</v>
      </c>
      <c r="G46" s="168"/>
      <c r="H46" s="62"/>
      <c r="M46" s="12"/>
      <c r="N46" s="11" t="s">
        <v>108</v>
      </c>
      <c r="O46" s="65" t="s">
        <v>108</v>
      </c>
      <c r="P46" s="65" t="s">
        <v>95</v>
      </c>
      <c r="Q46" s="66" t="s">
        <v>95</v>
      </c>
    </row>
    <row r="47" spans="1:17" ht="15" customHeight="1" outlineLevel="1" x14ac:dyDescent="0.25">
      <c r="C47" s="6"/>
      <c r="D47" t="s">
        <v>111</v>
      </c>
      <c r="F47" s="168" t="s">
        <v>94</v>
      </c>
      <c r="G47" s="168"/>
      <c r="H47" s="62"/>
      <c r="M47" s="12"/>
      <c r="N47" s="11" t="s">
        <v>108</v>
      </c>
      <c r="O47" s="65" t="s">
        <v>108</v>
      </c>
      <c r="P47" s="65" t="s">
        <v>95</v>
      </c>
      <c r="Q47" s="66" t="s">
        <v>95</v>
      </c>
    </row>
    <row r="48" spans="1:17" ht="15" customHeight="1" outlineLevel="1" x14ac:dyDescent="0.25">
      <c r="C48" s="6"/>
      <c r="D48" s="3" t="s">
        <v>112</v>
      </c>
      <c r="F48" s="168" t="s">
        <v>94</v>
      </c>
      <c r="G48" s="168"/>
      <c r="H48" s="62"/>
      <c r="M48" s="12"/>
      <c r="N48" s="65" t="s">
        <v>95</v>
      </c>
      <c r="O48" s="65" t="s">
        <v>95</v>
      </c>
      <c r="P48" s="65" t="s">
        <v>95</v>
      </c>
      <c r="Q48" s="66" t="s">
        <v>95</v>
      </c>
    </row>
    <row r="49" spans="3:17" ht="15" customHeight="1" outlineLevel="1" x14ac:dyDescent="0.25">
      <c r="C49" s="171" t="s">
        <v>113</v>
      </c>
      <c r="D49" s="172"/>
      <c r="E49" s="172"/>
      <c r="F49" s="172"/>
      <c r="G49" s="91" t="str">
        <f>IF(COUNTIF(F50:G51,"Y")+COUNTIF(F50:G51,"na")+COUNTIF(F50:G51,"n/a")=COUNTA(F50:G51), "Complete", "Incomplete")</f>
        <v>Incomplete</v>
      </c>
      <c r="H49" s="63"/>
      <c r="I49" s="1"/>
      <c r="J49" s="1"/>
      <c r="K49" s="1"/>
      <c r="L49" s="1"/>
      <c r="M49" s="18"/>
      <c r="N49" s="6"/>
      <c r="O49" s="1"/>
      <c r="P49" s="1"/>
      <c r="Q49" s="18"/>
    </row>
    <row r="50" spans="3:17" ht="15" customHeight="1" outlineLevel="1" x14ac:dyDescent="0.25">
      <c r="C50" s="6"/>
      <c r="D50" t="s">
        <v>114</v>
      </c>
      <c r="F50" s="168" t="s">
        <v>94</v>
      </c>
      <c r="G50" s="168"/>
      <c r="H50" s="62"/>
      <c r="M50" s="12"/>
      <c r="N50" s="65" t="s">
        <v>95</v>
      </c>
      <c r="O50" s="65" t="s">
        <v>95</v>
      </c>
      <c r="P50" s="65" t="s">
        <v>95</v>
      </c>
      <c r="Q50" s="66" t="s">
        <v>95</v>
      </c>
    </row>
    <row r="51" spans="3:17" ht="15" customHeight="1" outlineLevel="1" x14ac:dyDescent="0.25">
      <c r="C51" s="6"/>
      <c r="D51" s="3" t="s">
        <v>112</v>
      </c>
      <c r="F51" s="168" t="s">
        <v>94</v>
      </c>
      <c r="G51" s="168"/>
      <c r="H51" s="62"/>
      <c r="M51" s="12"/>
      <c r="N51" s="65" t="s">
        <v>95</v>
      </c>
      <c r="O51" s="65" t="s">
        <v>95</v>
      </c>
      <c r="P51" s="65" t="s">
        <v>95</v>
      </c>
      <c r="Q51" s="66" t="s">
        <v>95</v>
      </c>
    </row>
    <row r="52" spans="3:17" ht="15" customHeight="1" outlineLevel="1" x14ac:dyDescent="0.25">
      <c r="C52" s="171" t="s">
        <v>47</v>
      </c>
      <c r="D52" s="172"/>
      <c r="E52" s="172"/>
      <c r="F52" s="172"/>
      <c r="G52" s="91" t="str">
        <f>IF(COUNTIF(F53:G54,"Y")+COUNTIF(F53:G54,"na")+COUNTIF(F53:G54,"n/a")=COUNTA(F53:G54), "Complete", "Incomplete")</f>
        <v>Incomplete</v>
      </c>
      <c r="H52" s="63"/>
      <c r="I52" s="1"/>
      <c r="J52" s="1"/>
      <c r="K52" s="1"/>
      <c r="L52" s="1"/>
      <c r="M52" s="18"/>
      <c r="N52" s="6"/>
      <c r="O52" s="1"/>
      <c r="P52" s="1"/>
      <c r="Q52" s="18"/>
    </row>
    <row r="53" spans="3:17" ht="15.75" customHeight="1" outlineLevel="1" thickBot="1" x14ac:dyDescent="0.3">
      <c r="C53" s="6"/>
      <c r="D53" t="s">
        <v>115</v>
      </c>
      <c r="F53" t="s">
        <v>94</v>
      </c>
      <c r="G53"/>
      <c r="H53" s="73"/>
      <c r="M53" s="12"/>
      <c r="N53" s="65" t="s">
        <v>95</v>
      </c>
      <c r="O53" s="65" t="s">
        <v>95</v>
      </c>
      <c r="P53" s="65" t="s">
        <v>95</v>
      </c>
      <c r="Q53" s="66" t="s">
        <v>95</v>
      </c>
    </row>
    <row r="54" spans="3:17" ht="15.75" customHeight="1" outlineLevel="1" thickBot="1" x14ac:dyDescent="0.3">
      <c r="C54" s="6"/>
      <c r="D54" s="3" t="s">
        <v>112</v>
      </c>
      <c r="F54" s="168" t="s">
        <v>94</v>
      </c>
      <c r="G54" s="168"/>
      <c r="H54" s="62"/>
      <c r="M54" s="12"/>
      <c r="N54" s="65" t="s">
        <v>95</v>
      </c>
      <c r="O54" s="65" t="s">
        <v>95</v>
      </c>
      <c r="P54" s="65" t="s">
        <v>95</v>
      </c>
      <c r="Q54" s="66" t="s">
        <v>95</v>
      </c>
    </row>
    <row r="55" spans="3:17" ht="15.75" thickBot="1" x14ac:dyDescent="0.3">
      <c r="C55" s="39"/>
      <c r="D55" s="35"/>
      <c r="E55" s="35"/>
      <c r="F55" s="40"/>
      <c r="G55" s="96"/>
      <c r="H55" s="35"/>
      <c r="I55" s="41"/>
      <c r="J55" s="41"/>
      <c r="K55" s="41"/>
      <c r="L55" s="41"/>
      <c r="M55" s="42"/>
      <c r="N55" s="34"/>
      <c r="O55" s="35"/>
      <c r="P55" s="35"/>
      <c r="Q55" s="36"/>
    </row>
    <row r="56" spans="3:17" ht="28.5" customHeight="1" thickBot="1" x14ac:dyDescent="0.4">
      <c r="C56" s="174" t="str">
        <f>D15</f>
        <v>Lab</v>
      </c>
      <c r="D56" s="175"/>
      <c r="E56" s="175"/>
      <c r="F56" s="14" t="s">
        <v>90</v>
      </c>
      <c r="G56" s="95" t="str">
        <f>IF(E15="y",IF(AND(G57="complete",G60="complete",G67="complete",G82="complete",G90="complete",G147="complete",G167="complete", G152="complete",F178="confirmed"), "Section Complete", "Section Incomplete"),"Section N/A")</f>
        <v>Section N/A</v>
      </c>
      <c r="H56" s="15" t="s">
        <v>91</v>
      </c>
      <c r="I56" s="169" t="s">
        <v>92</v>
      </c>
      <c r="J56" s="169"/>
      <c r="K56" s="169"/>
      <c r="L56" s="169"/>
      <c r="M56" s="170"/>
      <c r="N56" s="37"/>
      <c r="O56" s="33"/>
      <c r="P56" s="33"/>
      <c r="Q56" s="38"/>
    </row>
    <row r="57" spans="3:17" ht="14.25" customHeight="1" outlineLevel="1" x14ac:dyDescent="0.25">
      <c r="C57" s="171" t="s">
        <v>116</v>
      </c>
      <c r="D57" s="172"/>
      <c r="E57" s="172"/>
      <c r="F57" s="172"/>
      <c r="G57" s="91" t="str">
        <f>IF(COUNTIF(F58:G59,"Y")+COUNTIF(F58:G59,"na")+COUNTIF(F58:G59,"n/a")=COUNTA(F58:G59), "Complete", "Incomplete")</f>
        <v>Incomplete</v>
      </c>
      <c r="H57" s="61"/>
      <c r="I57" s="23"/>
      <c r="J57" s="23"/>
      <c r="K57" s="23"/>
      <c r="L57" s="23"/>
      <c r="M57" s="24"/>
      <c r="N57" s="6" t="s">
        <v>117</v>
      </c>
      <c r="O57" s="1" t="s">
        <v>118</v>
      </c>
      <c r="P57" s="1"/>
      <c r="Q57" s="18"/>
    </row>
    <row r="58" spans="3:17" outlineLevel="1" x14ac:dyDescent="0.25">
      <c r="C58" s="6"/>
      <c r="D58" t="s">
        <v>119</v>
      </c>
      <c r="F58" s="168" t="s">
        <v>27</v>
      </c>
      <c r="G58" s="168"/>
      <c r="H58" s="62"/>
      <c r="M58" s="12"/>
      <c r="N58" s="11" t="s">
        <v>108</v>
      </c>
      <c r="O58" s="65" t="s">
        <v>108</v>
      </c>
      <c r="P58" s="65" t="s">
        <v>95</v>
      </c>
      <c r="Q58" s="66" t="s">
        <v>95</v>
      </c>
    </row>
    <row r="59" spans="3:17" outlineLevel="1" x14ac:dyDescent="0.25">
      <c r="C59" s="6"/>
      <c r="D59" t="s">
        <v>448</v>
      </c>
      <c r="F59" s="168" t="s">
        <v>27</v>
      </c>
      <c r="G59" s="168"/>
      <c r="H59" s="62"/>
      <c r="M59" s="12"/>
      <c r="N59" s="64" t="s">
        <v>95</v>
      </c>
      <c r="O59" s="65" t="s">
        <v>95</v>
      </c>
      <c r="P59" s="65" t="s">
        <v>95</v>
      </c>
      <c r="Q59" s="66" t="s">
        <v>95</v>
      </c>
    </row>
    <row r="60" spans="3:17" outlineLevel="1" x14ac:dyDescent="0.25">
      <c r="C60" s="171" t="s">
        <v>120</v>
      </c>
      <c r="D60" s="172"/>
      <c r="E60" s="172"/>
      <c r="F60" s="172"/>
      <c r="G60" s="91" t="str">
        <f>IF(COUNTIF(F61:G66,"Y")+COUNTIF(F61:G66,"na")+COUNTIF(F61:G66,"n/a")=COUNTA(F61:G66), "Complete", "Incomplete")</f>
        <v>Incomplete</v>
      </c>
      <c r="H60" s="63"/>
      <c r="I60" s="1"/>
      <c r="J60" s="1"/>
      <c r="K60" s="1"/>
      <c r="L60" s="1"/>
      <c r="M60" s="18"/>
      <c r="N60" s="6"/>
      <c r="O60" s="1"/>
      <c r="P60" s="1"/>
      <c r="Q60" s="18"/>
    </row>
    <row r="61" spans="3:17" outlineLevel="1" x14ac:dyDescent="0.25">
      <c r="C61" s="6"/>
      <c r="D61" t="s">
        <v>121</v>
      </c>
      <c r="F61" s="168" t="s">
        <v>27</v>
      </c>
      <c r="G61" s="168"/>
      <c r="H61" s="62"/>
      <c r="M61" s="12"/>
      <c r="N61" s="64" t="s">
        <v>95</v>
      </c>
      <c r="O61" s="65" t="s">
        <v>95</v>
      </c>
      <c r="P61" s="65" t="s">
        <v>95</v>
      </c>
      <c r="Q61" s="66" t="s">
        <v>95</v>
      </c>
    </row>
    <row r="62" spans="3:17" outlineLevel="1" x14ac:dyDescent="0.25">
      <c r="C62" s="72" t="s">
        <v>122</v>
      </c>
      <c r="D62" t="s">
        <v>451</v>
      </c>
      <c r="F62" s="168" t="s">
        <v>27</v>
      </c>
      <c r="G62" s="168"/>
      <c r="H62" s="62"/>
      <c r="M62" s="12"/>
      <c r="N62" s="11" t="s">
        <v>123</v>
      </c>
      <c r="O62" t="s">
        <v>124</v>
      </c>
      <c r="P62" s="65" t="s">
        <v>95</v>
      </c>
      <c r="Q62" s="66" t="s">
        <v>95</v>
      </c>
    </row>
    <row r="63" spans="3:17" outlineLevel="1" x14ac:dyDescent="0.25">
      <c r="C63" s="6"/>
      <c r="D63" t="s">
        <v>125</v>
      </c>
      <c r="F63" s="168" t="s">
        <v>27</v>
      </c>
      <c r="G63" s="168"/>
      <c r="H63" s="62"/>
      <c r="M63" s="12"/>
      <c r="N63" s="64" t="s">
        <v>95</v>
      </c>
      <c r="O63" s="65" t="s">
        <v>95</v>
      </c>
      <c r="P63" s="65" t="s">
        <v>95</v>
      </c>
      <c r="Q63" s="66" t="s">
        <v>95</v>
      </c>
    </row>
    <row r="64" spans="3:17" outlineLevel="1" x14ac:dyDescent="0.25">
      <c r="C64" s="6"/>
      <c r="D64" t="s">
        <v>126</v>
      </c>
      <c r="F64" s="168" t="s">
        <v>27</v>
      </c>
      <c r="G64" s="168"/>
      <c r="H64" s="62"/>
      <c r="M64" s="12"/>
      <c r="N64" s="64" t="s">
        <v>95</v>
      </c>
      <c r="O64" s="65" t="s">
        <v>95</v>
      </c>
      <c r="P64" s="65" t="s">
        <v>95</v>
      </c>
      <c r="Q64" s="66" t="s">
        <v>95</v>
      </c>
    </row>
    <row r="65" spans="3:19" outlineLevel="1" x14ac:dyDescent="0.25">
      <c r="C65" s="6"/>
      <c r="D65" t="s">
        <v>452</v>
      </c>
      <c r="F65" s="168" t="s">
        <v>27</v>
      </c>
      <c r="G65" s="168"/>
      <c r="H65" s="62"/>
      <c r="M65" s="12"/>
      <c r="N65" s="64" t="s">
        <v>95</v>
      </c>
      <c r="O65" s="65" t="s">
        <v>95</v>
      </c>
      <c r="P65" s="65" t="s">
        <v>95</v>
      </c>
      <c r="Q65" s="66" t="s">
        <v>95</v>
      </c>
    </row>
    <row r="66" spans="3:19" outlineLevel="1" x14ac:dyDescent="0.25">
      <c r="C66" s="72" t="s">
        <v>127</v>
      </c>
      <c r="D66" t="s">
        <v>128</v>
      </c>
      <c r="F66" s="168" t="s">
        <v>27</v>
      </c>
      <c r="G66" s="168"/>
      <c r="H66" s="62"/>
      <c r="M66" s="12"/>
      <c r="N66" s="64" t="s">
        <v>95</v>
      </c>
      <c r="O66" s="65" t="s">
        <v>95</v>
      </c>
      <c r="P66" s="65" t="s">
        <v>95</v>
      </c>
      <c r="Q66" s="66" t="s">
        <v>95</v>
      </c>
    </row>
    <row r="67" spans="3:19" outlineLevel="1" x14ac:dyDescent="0.25">
      <c r="C67" s="171" t="s">
        <v>129</v>
      </c>
      <c r="D67" s="172"/>
      <c r="E67" s="172"/>
      <c r="F67" s="172"/>
      <c r="G67" s="91" t="str">
        <f>IF(COUNTIF(F68:G81,"Y")+COUNTIF(F68:G81,"na")+COUNTIF(F68:G81,"n/a")=COUNTA(F68:G81), "Complete", "Incomplete")</f>
        <v>Incomplete</v>
      </c>
      <c r="H67" s="63"/>
      <c r="I67" s="1"/>
      <c r="J67" s="1"/>
      <c r="K67" s="1"/>
      <c r="L67" s="1"/>
      <c r="M67" s="18"/>
      <c r="N67" s="6"/>
      <c r="O67" s="1"/>
      <c r="P67" s="1" t="s">
        <v>130</v>
      </c>
      <c r="Q67" s="18" t="s">
        <v>131</v>
      </c>
      <c r="R67" t="s">
        <v>132</v>
      </c>
    </row>
    <row r="68" spans="3:19" s="128" customFormat="1" ht="30" customHeight="1" outlineLevel="1" x14ac:dyDescent="0.25">
      <c r="C68" s="129"/>
      <c r="D68" s="128" t="s">
        <v>133</v>
      </c>
      <c r="F68" s="128" t="s">
        <v>94</v>
      </c>
      <c r="H68" s="130"/>
      <c r="M68" s="164"/>
      <c r="N68" s="165" t="s">
        <v>134</v>
      </c>
      <c r="O68" s="131"/>
      <c r="P68" s="131" t="s">
        <v>95</v>
      </c>
      <c r="Q68" s="132" t="s">
        <v>95</v>
      </c>
      <c r="R68" s="128" t="s">
        <v>135</v>
      </c>
      <c r="S68" s="128" t="s">
        <v>131</v>
      </c>
    </row>
    <row r="69" spans="3:19" outlineLevel="1" x14ac:dyDescent="0.25">
      <c r="C69" s="6"/>
      <c r="D69" t="s">
        <v>136</v>
      </c>
      <c r="F69" t="s">
        <v>27</v>
      </c>
      <c r="G69"/>
      <c r="H69" s="62"/>
      <c r="M69" s="12"/>
      <c r="N69" s="64" t="s">
        <v>137</v>
      </c>
      <c r="O69" s="65"/>
      <c r="P69" s="65" t="s">
        <v>95</v>
      </c>
      <c r="Q69" s="66" t="s">
        <v>95</v>
      </c>
    </row>
    <row r="70" spans="3:19" outlineLevel="1" x14ac:dyDescent="0.25">
      <c r="C70" s="6"/>
      <c r="D70" t="s">
        <v>453</v>
      </c>
      <c r="F70" t="s">
        <v>27</v>
      </c>
      <c r="G70"/>
      <c r="H70" s="62"/>
      <c r="M70" s="12"/>
      <c r="N70" s="64" t="s">
        <v>95</v>
      </c>
      <c r="O70" s="65" t="s">
        <v>95</v>
      </c>
      <c r="P70" s="65" t="s">
        <v>95</v>
      </c>
      <c r="Q70" s="66" t="s">
        <v>95</v>
      </c>
    </row>
    <row r="71" spans="3:19" outlineLevel="1" x14ac:dyDescent="0.25">
      <c r="C71" s="6"/>
      <c r="D71" t="s">
        <v>454</v>
      </c>
      <c r="F71" t="s">
        <v>27</v>
      </c>
      <c r="G71"/>
      <c r="H71" s="62"/>
      <c r="M71" s="12"/>
      <c r="N71" s="64" t="s">
        <v>95</v>
      </c>
      <c r="O71" s="65" t="s">
        <v>95</v>
      </c>
      <c r="P71" s="65" t="s">
        <v>95</v>
      </c>
      <c r="Q71" s="66" t="s">
        <v>95</v>
      </c>
    </row>
    <row r="72" spans="3:19" outlineLevel="1" x14ac:dyDescent="0.25">
      <c r="C72" s="6"/>
      <c r="D72" t="s">
        <v>138</v>
      </c>
      <c r="E72" s="87">
        <f>VLOOKUP(L16,constants!A12:C17,3, FALSE)</f>
        <v>1200</v>
      </c>
      <c r="F72" t="s">
        <v>27</v>
      </c>
      <c r="G72"/>
      <c r="H72" s="62"/>
      <c r="M72" s="12"/>
      <c r="N72" s="64" t="s">
        <v>95</v>
      </c>
      <c r="O72" s="65" t="s">
        <v>95</v>
      </c>
      <c r="P72" s="65" t="s">
        <v>95</v>
      </c>
      <c r="Q72" s="66" t="s">
        <v>95</v>
      </c>
    </row>
    <row r="73" spans="3:19" outlineLevel="1" x14ac:dyDescent="0.25">
      <c r="C73" s="6"/>
      <c r="D73" t="s">
        <v>139</v>
      </c>
      <c r="E73" s="87">
        <f>VLOOKUP(L16,constants!A12:C17,2,FALSE)</f>
        <v>1050</v>
      </c>
      <c r="F73" t="s">
        <v>27</v>
      </c>
      <c r="G73"/>
      <c r="H73" s="62"/>
      <c r="M73" s="12"/>
      <c r="N73" s="64" t="s">
        <v>95</v>
      </c>
      <c r="O73" s="65" t="s">
        <v>95</v>
      </c>
      <c r="P73" s="65" t="s">
        <v>95</v>
      </c>
      <c r="Q73" s="66" t="s">
        <v>95</v>
      </c>
    </row>
    <row r="74" spans="3:19" outlineLevel="1" x14ac:dyDescent="0.25">
      <c r="C74" s="6"/>
      <c r="D74" s="71" t="s">
        <v>140</v>
      </c>
      <c r="E74" s="86">
        <f>VLOOKUP(E84,constants!A3:D9,2)</f>
        <v>211.1</v>
      </c>
      <c r="F74" t="s">
        <v>27</v>
      </c>
      <c r="G74"/>
      <c r="H74" s="62"/>
      <c r="M74" s="12"/>
      <c r="N74" s="64" t="s">
        <v>95</v>
      </c>
      <c r="O74" s="65" t="s">
        <v>95</v>
      </c>
      <c r="P74" s="65" t="s">
        <v>95</v>
      </c>
      <c r="Q74" s="66" t="s">
        <v>95</v>
      </c>
    </row>
    <row r="75" spans="3:19" outlineLevel="1" x14ac:dyDescent="0.25">
      <c r="C75" s="6"/>
      <c r="D75" t="s">
        <v>141</v>
      </c>
      <c r="F75" t="s">
        <v>27</v>
      </c>
      <c r="G75"/>
      <c r="H75" s="62"/>
      <c r="M75" s="12"/>
      <c r="N75" s="11" t="s">
        <v>142</v>
      </c>
      <c r="O75" t="s">
        <v>143</v>
      </c>
      <c r="Q75" s="12"/>
    </row>
    <row r="76" spans="3:19" outlineLevel="1" x14ac:dyDescent="0.25">
      <c r="C76" s="6"/>
      <c r="D76" t="s">
        <v>144</v>
      </c>
      <c r="F76" t="s">
        <v>27</v>
      </c>
      <c r="G76"/>
      <c r="H76" s="62"/>
      <c r="M76" s="12"/>
      <c r="N76" s="64" t="s">
        <v>95</v>
      </c>
      <c r="O76" s="65" t="s">
        <v>95</v>
      </c>
      <c r="P76" s="65" t="s">
        <v>95</v>
      </c>
      <c r="Q76" s="66" t="s">
        <v>95</v>
      </c>
    </row>
    <row r="77" spans="3:19" outlineLevel="1" x14ac:dyDescent="0.25">
      <c r="C77" s="6"/>
      <c r="D77" s="71" t="s">
        <v>140</v>
      </c>
      <c r="E77" s="86">
        <f>VLOOKUP(E84,constants!A3:D9,2)</f>
        <v>211.1</v>
      </c>
      <c r="F77" t="s">
        <v>27</v>
      </c>
      <c r="G77"/>
      <c r="H77" s="62"/>
      <c r="M77" s="12"/>
      <c r="N77" s="64" t="s">
        <v>95</v>
      </c>
      <c r="O77" s="65" t="s">
        <v>95</v>
      </c>
      <c r="P77" s="65" t="s">
        <v>95</v>
      </c>
      <c r="Q77" s="66" t="s">
        <v>95</v>
      </c>
    </row>
    <row r="78" spans="3:19" outlineLevel="1" x14ac:dyDescent="0.25">
      <c r="C78" s="6"/>
      <c r="D78" t="s">
        <v>145</v>
      </c>
      <c r="F78" t="s">
        <v>27</v>
      </c>
      <c r="G78"/>
      <c r="H78" s="62"/>
      <c r="M78" s="12"/>
      <c r="N78" s="64" t="s">
        <v>95</v>
      </c>
      <c r="O78" s="65" t="s">
        <v>95</v>
      </c>
      <c r="P78" s="65" t="s">
        <v>95</v>
      </c>
      <c r="Q78" s="66" t="s">
        <v>95</v>
      </c>
    </row>
    <row r="79" spans="3:19" outlineLevel="1" x14ac:dyDescent="0.25">
      <c r="C79" s="6"/>
      <c r="D79" t="s">
        <v>146</v>
      </c>
      <c r="F79" t="s">
        <v>27</v>
      </c>
      <c r="G79"/>
      <c r="H79" s="62"/>
      <c r="M79" s="12"/>
      <c r="N79" s="64" t="s">
        <v>95</v>
      </c>
      <c r="O79" s="65" t="s">
        <v>95</v>
      </c>
      <c r="P79" s="65" t="s">
        <v>95</v>
      </c>
      <c r="Q79" s="66" t="s">
        <v>95</v>
      </c>
    </row>
    <row r="80" spans="3:19" outlineLevel="1" x14ac:dyDescent="0.25">
      <c r="C80" s="6"/>
      <c r="D80" t="s">
        <v>147</v>
      </c>
      <c r="F80" t="s">
        <v>27</v>
      </c>
      <c r="G80"/>
      <c r="H80" s="62"/>
      <c r="M80" s="12"/>
      <c r="N80" s="64" t="s">
        <v>95</v>
      </c>
      <c r="O80" s="65" t="s">
        <v>95</v>
      </c>
      <c r="P80" s="65" t="s">
        <v>95</v>
      </c>
      <c r="Q80" s="66" t="s">
        <v>95</v>
      </c>
    </row>
    <row r="81" spans="3:17" outlineLevel="1" x14ac:dyDescent="0.25">
      <c r="C81" s="6"/>
      <c r="D81" t="s">
        <v>148</v>
      </c>
      <c r="F81" t="s">
        <v>27</v>
      </c>
      <c r="G81"/>
      <c r="H81" s="62"/>
      <c r="M81" s="12"/>
      <c r="N81" s="64" t="s">
        <v>95</v>
      </c>
      <c r="O81" s="65" t="s">
        <v>95</v>
      </c>
      <c r="P81" s="65" t="s">
        <v>95</v>
      </c>
      <c r="Q81" s="66" t="s">
        <v>95</v>
      </c>
    </row>
    <row r="82" spans="3:17" outlineLevel="1" x14ac:dyDescent="0.25">
      <c r="C82" s="171" t="s">
        <v>63</v>
      </c>
      <c r="D82" s="172"/>
      <c r="E82" s="172"/>
      <c r="F82" s="172"/>
      <c r="G82" s="91" t="str">
        <f>IF(COUNTIF(F83:G89,"Y")+COUNTIF(F83:G89,"na")+COUNTIF(F83:G89,"n/a")=COUNTA(F83:G89), "Complete", "Incomplete")</f>
        <v>Incomplete</v>
      </c>
      <c r="H82" s="63"/>
      <c r="I82" s="1"/>
      <c r="J82" s="1"/>
      <c r="K82" s="1"/>
      <c r="L82" s="1"/>
      <c r="M82" s="18"/>
      <c r="N82" s="6" t="s">
        <v>149</v>
      </c>
      <c r="O82" s="1" t="s">
        <v>150</v>
      </c>
      <c r="P82" s="1" t="s">
        <v>151</v>
      </c>
      <c r="Q82" s="18" t="s">
        <v>152</v>
      </c>
    </row>
    <row r="83" spans="3:17" outlineLevel="1" x14ac:dyDescent="0.25">
      <c r="C83" s="6" t="s">
        <v>153</v>
      </c>
      <c r="D83" s="71" t="s">
        <v>154</v>
      </c>
      <c r="E83" s="111" t="str">
        <f>IF(L14="g3",VLOOKUP(E84,constants!B49:D54,2,FALSE),VLOOKUP(E84,constants!B55:D60,2))</f>
        <v>alkaline</v>
      </c>
      <c r="F83" t="s">
        <v>107</v>
      </c>
      <c r="G83"/>
      <c r="H83" s="62"/>
      <c r="M83" s="12"/>
      <c r="N83" s="64" t="s">
        <v>95</v>
      </c>
      <c r="O83" s="65" t="s">
        <v>95</v>
      </c>
      <c r="P83" s="65" t="s">
        <v>95</v>
      </c>
      <c r="Q83" s="66" t="s">
        <v>95</v>
      </c>
    </row>
    <row r="84" spans="3:17" outlineLevel="1" x14ac:dyDescent="0.25">
      <c r="C84" s="6"/>
      <c r="D84" t="s">
        <v>155</v>
      </c>
      <c r="E84" s="86" t="str">
        <f>L19</f>
        <v>lith-ion</v>
      </c>
      <c r="F84" t="s">
        <v>27</v>
      </c>
      <c r="G84"/>
      <c r="H84" s="62"/>
      <c r="M84" s="12"/>
      <c r="N84" s="65" t="s">
        <v>108</v>
      </c>
      <c r="O84" s="65" t="s">
        <v>108</v>
      </c>
      <c r="P84" s="65" t="s">
        <v>108</v>
      </c>
      <c r="Q84" s="66" t="s">
        <v>108</v>
      </c>
    </row>
    <row r="85" spans="3:17" outlineLevel="1" x14ac:dyDescent="0.25">
      <c r="C85" s="6"/>
      <c r="D85" s="71" t="s">
        <v>156</v>
      </c>
      <c r="E85" s="111" t="str">
        <f>IF(L14="g3",VLOOKUP(E84,constants!B49:D54,3,FALSE),VLOOKUP(E84,constants!B55:D60,3,FALSE))</f>
        <v>no</v>
      </c>
      <c r="F85" t="s">
        <v>107</v>
      </c>
      <c r="G85"/>
      <c r="H85" s="62"/>
      <c r="M85" s="12"/>
      <c r="N85" s="64" t="s">
        <v>95</v>
      </c>
      <c r="O85" s="65" t="s">
        <v>95</v>
      </c>
      <c r="P85" s="65" t="s">
        <v>95</v>
      </c>
      <c r="Q85" s="66" t="s">
        <v>95</v>
      </c>
    </row>
    <row r="86" spans="3:17" outlineLevel="1" x14ac:dyDescent="0.25">
      <c r="C86" s="6"/>
      <c r="D86" t="s">
        <v>157</v>
      </c>
      <c r="F86" t="s">
        <v>27</v>
      </c>
      <c r="G86"/>
      <c r="H86" s="62"/>
      <c r="M86" s="12"/>
      <c r="N86" s="64" t="s">
        <v>158</v>
      </c>
      <c r="O86" s="65" t="s">
        <v>108</v>
      </c>
      <c r="P86" s="65" t="s">
        <v>95</v>
      </c>
      <c r="Q86" s="66" t="s">
        <v>95</v>
      </c>
    </row>
    <row r="87" spans="3:17" outlineLevel="1" x14ac:dyDescent="0.25">
      <c r="C87" s="6"/>
      <c r="D87" t="s">
        <v>159</v>
      </c>
      <c r="E87" s="87">
        <f>IF(L14="G3",(VLOOKUP(E84,constants!A3:D9,4)),(VLOOKUP(E84,constants!A3:D9,3)))</f>
        <v>13.5</v>
      </c>
      <c r="F87" t="s">
        <v>27</v>
      </c>
      <c r="G87"/>
      <c r="H87" s="62"/>
      <c r="M87" s="12"/>
      <c r="N87" s="64" t="s">
        <v>95</v>
      </c>
      <c r="O87" s="65" t="s">
        <v>95</v>
      </c>
      <c r="P87" s="65" t="s">
        <v>95</v>
      </c>
      <c r="Q87" s="66" t="s">
        <v>95</v>
      </c>
    </row>
    <row r="88" spans="3:17" outlineLevel="1" x14ac:dyDescent="0.25">
      <c r="C88" s="6"/>
      <c r="D88" t="s">
        <v>160</v>
      </c>
      <c r="E88" s="87">
        <f>IF(L14="G3",(VLOOKUP(E84,constants!A3:D9,4)),(VLOOKUP(E84,constants!A3:D9,3)))</f>
        <v>13.5</v>
      </c>
      <c r="F88" t="s">
        <v>27</v>
      </c>
      <c r="G88"/>
      <c r="H88" s="62"/>
      <c r="M88" s="12"/>
      <c r="N88" s="64" t="s">
        <v>95</v>
      </c>
      <c r="O88" s="65" t="s">
        <v>95</v>
      </c>
      <c r="P88" s="65" t="s">
        <v>95</v>
      </c>
      <c r="Q88" s="66" t="s">
        <v>95</v>
      </c>
    </row>
    <row r="89" spans="3:17" outlineLevel="1" x14ac:dyDescent="0.25">
      <c r="C89" s="6"/>
      <c r="D89" t="s">
        <v>161</v>
      </c>
      <c r="F89" t="s">
        <v>27</v>
      </c>
      <c r="G89"/>
      <c r="H89" s="62"/>
      <c r="M89" s="12"/>
      <c r="N89" s="64" t="s">
        <v>95</v>
      </c>
      <c r="O89" s="65" t="s">
        <v>95</v>
      </c>
      <c r="P89" s="65" t="s">
        <v>95</v>
      </c>
      <c r="Q89" s="66" t="s">
        <v>95</v>
      </c>
    </row>
    <row r="90" spans="3:17" outlineLevel="1" x14ac:dyDescent="0.25">
      <c r="C90" s="171" t="s">
        <v>162</v>
      </c>
      <c r="D90" s="172"/>
      <c r="E90" s="172"/>
      <c r="F90" s="172"/>
      <c r="G90" s="91" t="e">
        <f>IF(AND(COUNTIF(F91:G93,"Y")+COUNTIF(F91:G93,"na")+COUNTIF(F91:G93,"n/a")=COUNTA(F91:G93), F94="complete",F101="complete",F137="complete"), "Complete", "Incomplete")</f>
        <v>#REF!</v>
      </c>
      <c r="H90" s="63"/>
      <c r="I90" s="1"/>
      <c r="J90" s="1"/>
      <c r="K90" s="1"/>
      <c r="L90" s="1"/>
      <c r="M90" s="18"/>
      <c r="N90" s="6"/>
      <c r="O90" s="1"/>
      <c r="P90" s="1"/>
      <c r="Q90" s="18"/>
    </row>
    <row r="91" spans="3:17" outlineLevel="1" x14ac:dyDescent="0.25">
      <c r="C91" s="6"/>
      <c r="D91" t="s">
        <v>163</v>
      </c>
      <c r="F91" t="s">
        <v>27</v>
      </c>
      <c r="G91"/>
      <c r="H91" s="62"/>
      <c r="M91" s="12"/>
      <c r="N91" s="64" t="s">
        <v>95</v>
      </c>
      <c r="O91" s="65" t="s">
        <v>95</v>
      </c>
      <c r="P91" s="65" t="s">
        <v>95</v>
      </c>
      <c r="Q91" s="66" t="s">
        <v>95</v>
      </c>
    </row>
    <row r="92" spans="3:17" outlineLevel="1" x14ac:dyDescent="0.25">
      <c r="C92" s="6"/>
      <c r="D92" t="s">
        <v>164</v>
      </c>
      <c r="F92" t="s">
        <v>27</v>
      </c>
      <c r="G92"/>
      <c r="H92" s="62"/>
      <c r="M92" s="12"/>
      <c r="N92" s="64" t="s">
        <v>95</v>
      </c>
      <c r="O92" s="65" t="s">
        <v>95</v>
      </c>
      <c r="P92" s="65" t="s">
        <v>95</v>
      </c>
      <c r="Q92" s="66" t="s">
        <v>95</v>
      </c>
    </row>
    <row r="93" spans="3:17" outlineLevel="1" x14ac:dyDescent="0.25">
      <c r="C93" s="6"/>
      <c r="F93" t="s">
        <v>107</v>
      </c>
      <c r="G93"/>
      <c r="H93" s="62"/>
      <c r="M93" s="12"/>
      <c r="N93" s="64" t="s">
        <v>95</v>
      </c>
      <c r="O93" s="65" t="s">
        <v>95</v>
      </c>
      <c r="P93" s="65" t="s">
        <v>95</v>
      </c>
      <c r="Q93" s="66" t="s">
        <v>95</v>
      </c>
    </row>
    <row r="94" spans="3:17" outlineLevel="1" x14ac:dyDescent="0.25">
      <c r="C94" s="9"/>
      <c r="D94" s="119" t="s">
        <v>47</v>
      </c>
      <c r="E94" s="119"/>
      <c r="F94" s="3" t="str">
        <f>IF(COUNTIF(F95:G100,"Y")+COUNTIF(F95:G100,"na")+COUNTIF(F95:G100,"n/a")=COUNTA(F95:G100), "Complete", "Incomplete")</f>
        <v>Incomplete</v>
      </c>
      <c r="G94" s="97"/>
      <c r="H94" s="63"/>
      <c r="I94" s="1"/>
      <c r="J94" s="1"/>
      <c r="K94" s="1"/>
      <c r="L94" s="1"/>
      <c r="M94" s="18"/>
      <c r="N94" s="6" t="s">
        <v>165</v>
      </c>
      <c r="O94" s="1" t="s">
        <v>166</v>
      </c>
      <c r="P94" s="1"/>
      <c r="Q94" s="18"/>
    </row>
    <row r="95" spans="3:17" outlineLevel="1" x14ac:dyDescent="0.25">
      <c r="C95" s="6"/>
      <c r="D95" t="s">
        <v>167</v>
      </c>
      <c r="F95" t="s">
        <v>27</v>
      </c>
      <c r="G95"/>
      <c r="H95" s="62"/>
      <c r="M95" s="12"/>
      <c r="N95" s="65" t="s">
        <v>108</v>
      </c>
      <c r="O95" s="65" t="s">
        <v>108</v>
      </c>
      <c r="P95" s="65" t="s">
        <v>95</v>
      </c>
      <c r="Q95" s="66" t="s">
        <v>95</v>
      </c>
    </row>
    <row r="96" spans="3:17" outlineLevel="1" x14ac:dyDescent="0.25">
      <c r="C96" s="6"/>
      <c r="D96" t="s">
        <v>168</v>
      </c>
      <c r="F96" t="s">
        <v>27</v>
      </c>
      <c r="G96"/>
      <c r="H96" s="62"/>
      <c r="M96" s="12"/>
      <c r="N96" s="64" t="s">
        <v>95</v>
      </c>
      <c r="O96" s="65" t="s">
        <v>95</v>
      </c>
      <c r="P96" s="65" t="s">
        <v>95</v>
      </c>
      <c r="Q96" s="66" t="s">
        <v>95</v>
      </c>
    </row>
    <row r="97" spans="3:17" outlineLevel="1" x14ac:dyDescent="0.25">
      <c r="C97" s="6"/>
      <c r="D97" t="s">
        <v>169</v>
      </c>
      <c r="F97" t="s">
        <v>27</v>
      </c>
      <c r="G97"/>
      <c r="H97" s="62"/>
      <c r="M97" s="12"/>
      <c r="N97" s="64" t="s">
        <v>95</v>
      </c>
      <c r="O97" s="65" t="s">
        <v>95</v>
      </c>
      <c r="P97" s="65" t="s">
        <v>95</v>
      </c>
      <c r="Q97" s="66" t="s">
        <v>95</v>
      </c>
    </row>
    <row r="98" spans="3:17" outlineLevel="1" x14ac:dyDescent="0.25">
      <c r="C98" s="6"/>
      <c r="D98" t="s">
        <v>170</v>
      </c>
      <c r="F98" t="s">
        <v>27</v>
      </c>
      <c r="G98"/>
      <c r="H98" s="62"/>
      <c r="M98" s="12"/>
      <c r="N98" s="64" t="s">
        <v>95</v>
      </c>
      <c r="O98" s="65" t="s">
        <v>95</v>
      </c>
      <c r="P98" s="65" t="s">
        <v>95</v>
      </c>
      <c r="Q98" s="66" t="s">
        <v>95</v>
      </c>
    </row>
    <row r="99" spans="3:17" outlineLevel="1" x14ac:dyDescent="0.25">
      <c r="C99" s="6"/>
      <c r="D99" t="s">
        <v>171</v>
      </c>
      <c r="F99" t="s">
        <v>27</v>
      </c>
      <c r="G99"/>
      <c r="H99" s="62"/>
      <c r="M99" s="12"/>
      <c r="N99" s="64" t="s">
        <v>95</v>
      </c>
      <c r="O99" s="65" t="s">
        <v>95</v>
      </c>
      <c r="P99" s="65" t="s">
        <v>95</v>
      </c>
      <c r="Q99" s="66" t="s">
        <v>95</v>
      </c>
    </row>
    <row r="100" spans="3:17" outlineLevel="1" x14ac:dyDescent="0.25">
      <c r="C100" s="6"/>
      <c r="D100" t="s">
        <v>172</v>
      </c>
      <c r="F100" t="s">
        <v>27</v>
      </c>
      <c r="G100"/>
      <c r="H100" s="62"/>
      <c r="M100" s="12"/>
      <c r="N100" s="64" t="s">
        <v>95</v>
      </c>
      <c r="O100" s="65" t="s">
        <v>95</v>
      </c>
      <c r="P100" s="65" t="s">
        <v>95</v>
      </c>
      <c r="Q100" s="66" t="s">
        <v>95</v>
      </c>
    </row>
    <row r="101" spans="3:17" outlineLevel="1" x14ac:dyDescent="0.25">
      <c r="C101" s="9"/>
      <c r="D101" s="119" t="s">
        <v>173</v>
      </c>
      <c r="E101" s="119"/>
      <c r="F101" s="3" t="e">
        <f>IF(AND(COUNTIF(F102:G106,"Y")+COUNTIF(F102:G106,"na")+COUNTIF(F102:G106,"n/a")=COUNTA(F102:G106),#REF!="complete",#REF!="complete",E107="complete",#REF!="complete",E113="complete",E122="complete",#REF!="complete",E127="complete",#REF!="complete",E133="complete",#REF!="complete",#REF!="complete",#REF!="complete"), "Complete", "Incomplete")</f>
        <v>#REF!</v>
      </c>
      <c r="G101" s="97"/>
      <c r="H101" s="63"/>
      <c r="I101" s="1"/>
      <c r="J101" s="1"/>
      <c r="K101" s="1"/>
      <c r="L101" s="1"/>
      <c r="M101" s="18"/>
      <c r="N101" s="6" t="s">
        <v>174</v>
      </c>
      <c r="O101" s="1"/>
      <c r="P101" s="1" t="s">
        <v>175</v>
      </c>
      <c r="Q101" s="18"/>
    </row>
    <row r="102" spans="3:17" outlineLevel="1" x14ac:dyDescent="0.25">
      <c r="C102" s="6"/>
      <c r="D102" t="s">
        <v>176</v>
      </c>
      <c r="F102" t="s">
        <v>27</v>
      </c>
      <c r="G102"/>
      <c r="H102" s="62"/>
      <c r="M102" s="12"/>
      <c r="N102" s="65" t="s">
        <v>108</v>
      </c>
      <c r="O102" s="65" t="s">
        <v>95</v>
      </c>
      <c r="P102" s="65" t="s">
        <v>108</v>
      </c>
      <c r="Q102" s="66" t="s">
        <v>95</v>
      </c>
    </row>
    <row r="103" spans="3:17" outlineLevel="1" x14ac:dyDescent="0.25">
      <c r="C103" s="6"/>
      <c r="D103" t="s">
        <v>177</v>
      </c>
      <c r="F103" t="s">
        <v>27</v>
      </c>
      <c r="G103"/>
      <c r="H103" s="62"/>
      <c r="M103" s="12"/>
      <c r="N103" s="64" t="s">
        <v>95</v>
      </c>
      <c r="O103" s="65" t="s">
        <v>95</v>
      </c>
      <c r="P103" s="65" t="s">
        <v>95</v>
      </c>
      <c r="Q103" s="66" t="s">
        <v>95</v>
      </c>
    </row>
    <row r="104" spans="3:17" outlineLevel="1" x14ac:dyDescent="0.25">
      <c r="C104" s="6"/>
      <c r="D104" t="s">
        <v>170</v>
      </c>
      <c r="F104" t="s">
        <v>27</v>
      </c>
      <c r="G104"/>
      <c r="H104" s="62"/>
      <c r="M104" s="12"/>
      <c r="N104" s="64" t="s">
        <v>95</v>
      </c>
      <c r="O104" s="65" t="s">
        <v>95</v>
      </c>
      <c r="P104" s="65" t="s">
        <v>95</v>
      </c>
      <c r="Q104" s="66" t="s">
        <v>95</v>
      </c>
    </row>
    <row r="105" spans="3:17" outlineLevel="1" x14ac:dyDescent="0.25">
      <c r="C105" s="6"/>
      <c r="D105" t="s">
        <v>178</v>
      </c>
      <c r="F105" t="s">
        <v>27</v>
      </c>
      <c r="G105"/>
      <c r="H105" s="62"/>
      <c r="M105" s="12"/>
      <c r="N105" s="64" t="s">
        <v>95</v>
      </c>
      <c r="O105" s="65" t="s">
        <v>95</v>
      </c>
      <c r="P105" s="65" t="s">
        <v>95</v>
      </c>
      <c r="Q105" s="66" t="s">
        <v>95</v>
      </c>
    </row>
    <row r="106" spans="3:17" outlineLevel="1" x14ac:dyDescent="0.25">
      <c r="C106" s="6"/>
      <c r="F106" t="s">
        <v>107</v>
      </c>
      <c r="G106"/>
      <c r="H106" s="62"/>
      <c r="M106" s="12"/>
      <c r="N106" s="64" t="s">
        <v>95</v>
      </c>
      <c r="O106" s="65" t="s">
        <v>95</v>
      </c>
      <c r="P106" s="65" t="s">
        <v>95</v>
      </c>
      <c r="Q106" s="66" t="s">
        <v>95</v>
      </c>
    </row>
    <row r="107" spans="3:17" outlineLevel="1" x14ac:dyDescent="0.25">
      <c r="C107" s="9"/>
      <c r="D107" s="5" t="str">
        <f>G16</f>
        <v>RBR CT</v>
      </c>
      <c r="E107" s="3" t="str">
        <f>IF(H16="y",IF(COUNTIF(F108:G112,"Y")+COUNTIF(F108:G112,"na")+COUNTIF(F108:G112,"n/a")=COUNTA(F108:G112), "Complete", "Incomplete"),"Complete")</f>
        <v>Incomplete</v>
      </c>
      <c r="F107" s="4"/>
      <c r="G107" s="98"/>
      <c r="H107" s="63"/>
      <c r="I107" s="1"/>
      <c r="J107" s="1"/>
      <c r="K107" s="1"/>
      <c r="L107" s="1"/>
      <c r="M107" s="18"/>
      <c r="N107" s="6" t="s">
        <v>179</v>
      </c>
      <c r="O107" s="1" t="s">
        <v>180</v>
      </c>
      <c r="P107" s="1" t="s">
        <v>165</v>
      </c>
      <c r="Q107" s="18"/>
    </row>
    <row r="108" spans="3:17" ht="15" customHeight="1" outlineLevel="2" x14ac:dyDescent="0.25">
      <c r="C108" s="6"/>
      <c r="D108" t="s">
        <v>170</v>
      </c>
      <c r="F108" t="s">
        <v>27</v>
      </c>
      <c r="G108"/>
      <c r="H108" s="62"/>
      <c r="M108" s="12"/>
      <c r="N108" s="64" t="s">
        <v>95</v>
      </c>
      <c r="O108" s="65" t="s">
        <v>95</v>
      </c>
      <c r="P108" s="65" t="s">
        <v>95</v>
      </c>
      <c r="Q108" s="66" t="s">
        <v>95</v>
      </c>
    </row>
    <row r="109" spans="3:17" ht="15" customHeight="1" outlineLevel="2" x14ac:dyDescent="0.25">
      <c r="C109" s="6"/>
      <c r="D109" t="s">
        <v>181</v>
      </c>
      <c r="F109" t="s">
        <v>27</v>
      </c>
      <c r="G109"/>
      <c r="H109" s="62"/>
      <c r="M109" s="12"/>
      <c r="N109" s="65" t="s">
        <v>108</v>
      </c>
      <c r="O109" s="65" t="s">
        <v>108</v>
      </c>
      <c r="P109" s="65" t="s">
        <v>108</v>
      </c>
      <c r="Q109" s="66" t="s">
        <v>95</v>
      </c>
    </row>
    <row r="110" spans="3:17" ht="15" customHeight="1" outlineLevel="2" x14ac:dyDescent="0.25">
      <c r="C110" s="6"/>
      <c r="D110" t="s">
        <v>182</v>
      </c>
      <c r="F110" t="s">
        <v>27</v>
      </c>
      <c r="G110"/>
      <c r="H110" s="62"/>
      <c r="M110" s="12"/>
      <c r="N110" s="64" t="s">
        <v>95</v>
      </c>
      <c r="O110" s="65" t="s">
        <v>95</v>
      </c>
      <c r="P110" s="65" t="s">
        <v>95</v>
      </c>
      <c r="Q110" s="66" t="s">
        <v>95</v>
      </c>
    </row>
    <row r="111" spans="3:17" ht="15" customHeight="1" outlineLevel="2" x14ac:dyDescent="0.25">
      <c r="C111" s="6"/>
      <c r="D111" t="s">
        <v>183</v>
      </c>
      <c r="F111" t="s">
        <v>27</v>
      </c>
      <c r="G111"/>
      <c r="H111" s="62"/>
      <c r="M111" s="12"/>
      <c r="N111" s="64" t="s">
        <v>95</v>
      </c>
      <c r="O111" s="65" t="s">
        <v>95</v>
      </c>
      <c r="P111" s="65" t="s">
        <v>95</v>
      </c>
      <c r="Q111" s="66" t="s">
        <v>95</v>
      </c>
    </row>
    <row r="112" spans="3:17" ht="15" customHeight="1" outlineLevel="2" x14ac:dyDescent="0.25">
      <c r="C112" s="6"/>
      <c r="F112" t="s">
        <v>107</v>
      </c>
      <c r="G112"/>
      <c r="H112" s="62"/>
      <c r="M112" s="12"/>
      <c r="N112" s="64" t="s">
        <v>95</v>
      </c>
      <c r="O112" s="65" t="s">
        <v>95</v>
      </c>
      <c r="P112" s="65" t="s">
        <v>95</v>
      </c>
      <c r="Q112" s="66" t="s">
        <v>95</v>
      </c>
    </row>
    <row r="113" spans="3:17" outlineLevel="1" x14ac:dyDescent="0.25">
      <c r="C113" s="9"/>
      <c r="D113" s="5" t="s">
        <v>184</v>
      </c>
      <c r="E113" s="3" t="str">
        <f>IF(H18="y",IF(COUNTIF(F114:G121,"Y")+COUNTIF(F114:G121,"na")+COUNTIF(F114:G121,"n/a")=COUNTA(F114:G121), "Complete", "Incomplete"),"Complete")</f>
        <v>Complete</v>
      </c>
      <c r="F113" s="4"/>
      <c r="G113" s="98"/>
      <c r="H113" s="63"/>
      <c r="I113" s="1"/>
      <c r="J113" s="1"/>
      <c r="K113" s="1"/>
      <c r="L113" s="1"/>
      <c r="M113" s="18"/>
      <c r="N113" s="6" t="s">
        <v>179</v>
      </c>
      <c r="O113" s="1" t="s">
        <v>180</v>
      </c>
      <c r="P113" s="1" t="s">
        <v>165</v>
      </c>
      <c r="Q113" s="18"/>
    </row>
    <row r="114" spans="3:17" ht="15" customHeight="1" outlineLevel="2" x14ac:dyDescent="0.25">
      <c r="C114" s="6"/>
      <c r="D114" t="s">
        <v>170</v>
      </c>
      <c r="F114" t="s">
        <v>27</v>
      </c>
      <c r="G114"/>
      <c r="H114" s="62"/>
      <c r="M114" s="12"/>
      <c r="N114" s="64" t="s">
        <v>95</v>
      </c>
      <c r="O114" s="65" t="s">
        <v>95</v>
      </c>
      <c r="P114" s="65" t="s">
        <v>95</v>
      </c>
      <c r="Q114" s="66" t="s">
        <v>95</v>
      </c>
    </row>
    <row r="115" spans="3:17" ht="15" customHeight="1" outlineLevel="2" x14ac:dyDescent="0.25">
      <c r="C115" s="6"/>
      <c r="D115" t="s">
        <v>181</v>
      </c>
      <c r="F115" t="s">
        <v>27</v>
      </c>
      <c r="G115"/>
      <c r="H115" s="62"/>
      <c r="M115" s="12"/>
      <c r="N115" s="65" t="s">
        <v>108</v>
      </c>
      <c r="O115" s="65" t="s">
        <v>108</v>
      </c>
      <c r="P115" s="65" t="s">
        <v>108</v>
      </c>
      <c r="Q115" s="66" t="s">
        <v>95</v>
      </c>
    </row>
    <row r="116" spans="3:17" ht="15" customHeight="1" outlineLevel="2" x14ac:dyDescent="0.25">
      <c r="C116" s="6"/>
      <c r="D116" s="71" t="s">
        <v>182</v>
      </c>
      <c r="E116" s="71"/>
      <c r="F116" t="s">
        <v>27</v>
      </c>
      <c r="G116"/>
      <c r="H116" s="62"/>
      <c r="M116" s="12"/>
      <c r="N116" s="64" t="s">
        <v>95</v>
      </c>
      <c r="O116" s="65" t="s">
        <v>95</v>
      </c>
      <c r="P116" s="65" t="s">
        <v>95</v>
      </c>
      <c r="Q116" s="66" t="s">
        <v>95</v>
      </c>
    </row>
    <row r="117" spans="3:17" ht="15" customHeight="1" outlineLevel="2" x14ac:dyDescent="0.25">
      <c r="C117" s="6"/>
      <c r="D117" s="71" t="s">
        <v>185</v>
      </c>
      <c r="E117" s="71"/>
      <c r="F117" t="s">
        <v>27</v>
      </c>
      <c r="G117"/>
      <c r="H117" s="62"/>
      <c r="M117" s="12"/>
      <c r="N117" s="64" t="s">
        <v>95</v>
      </c>
      <c r="O117" s="65" t="s">
        <v>95</v>
      </c>
      <c r="P117" s="65" t="s">
        <v>95</v>
      </c>
      <c r="Q117" s="66" t="s">
        <v>95</v>
      </c>
    </row>
    <row r="118" spans="3:17" ht="15" customHeight="1" outlineLevel="2" x14ac:dyDescent="0.25">
      <c r="C118" s="6"/>
      <c r="D118" s="71" t="s">
        <v>186</v>
      </c>
      <c r="E118" s="71"/>
      <c r="F118" t="s">
        <v>27</v>
      </c>
      <c r="G118"/>
      <c r="H118" s="62"/>
      <c r="M118" s="12"/>
      <c r="N118" s="64" t="s">
        <v>95</v>
      </c>
      <c r="O118" s="65" t="s">
        <v>95</v>
      </c>
      <c r="P118" s="65" t="s">
        <v>95</v>
      </c>
      <c r="Q118" s="66" t="s">
        <v>95</v>
      </c>
    </row>
    <row r="119" spans="3:17" ht="15" customHeight="1" outlineLevel="2" x14ac:dyDescent="0.25">
      <c r="C119" s="6"/>
      <c r="D119" s="71" t="s">
        <v>187</v>
      </c>
      <c r="E119" s="71"/>
      <c r="F119" t="s">
        <v>27</v>
      </c>
      <c r="G119"/>
      <c r="H119" s="62"/>
      <c r="M119" s="12"/>
      <c r="N119" s="64" t="s">
        <v>95</v>
      </c>
      <c r="O119" s="65" t="s">
        <v>95</v>
      </c>
      <c r="P119" s="65" t="s">
        <v>95</v>
      </c>
      <c r="Q119" s="66" t="s">
        <v>95</v>
      </c>
    </row>
    <row r="120" spans="3:17" ht="15" customHeight="1" outlineLevel="2" x14ac:dyDescent="0.25">
      <c r="C120" s="6"/>
      <c r="D120" s="71" t="s">
        <v>188</v>
      </c>
      <c r="E120" s="71"/>
      <c r="F120" t="s">
        <v>27</v>
      </c>
      <c r="G120"/>
      <c r="H120" s="62"/>
      <c r="M120" s="12"/>
      <c r="N120" s="64" t="s">
        <v>95</v>
      </c>
      <c r="O120" s="65" t="s">
        <v>95</v>
      </c>
      <c r="P120" s="65" t="s">
        <v>95</v>
      </c>
      <c r="Q120" s="66" t="s">
        <v>95</v>
      </c>
    </row>
    <row r="121" spans="3:17" ht="15" customHeight="1" outlineLevel="2" x14ac:dyDescent="0.25">
      <c r="C121" s="6"/>
      <c r="D121" t="s">
        <v>189</v>
      </c>
      <c r="F121" t="s">
        <v>27</v>
      </c>
      <c r="G121"/>
      <c r="H121" s="62"/>
      <c r="M121" s="12"/>
      <c r="N121" s="65" t="s">
        <v>95</v>
      </c>
      <c r="O121" s="65" t="s">
        <v>95</v>
      </c>
      <c r="P121" s="65" t="s">
        <v>95</v>
      </c>
      <c r="Q121" s="66" t="s">
        <v>95</v>
      </c>
    </row>
    <row r="122" spans="3:17" outlineLevel="1" x14ac:dyDescent="0.25">
      <c r="C122" s="9"/>
      <c r="D122" s="5" t="str">
        <f>G19</f>
        <v>Optode</v>
      </c>
      <c r="E122" s="3" t="str">
        <f>IF(H19="y",IF(COUNTIF(F123:G126,"Y")+COUNTIF(F123:G126,"na")+COUNTIF(F123:G126,"n/a")=COUNTA(F123:G126), "Complete", "Incomplete"),"Complete")</f>
        <v>Incomplete</v>
      </c>
      <c r="F122" s="4"/>
      <c r="G122" s="98"/>
      <c r="H122" s="63"/>
      <c r="I122" s="1"/>
      <c r="J122" s="1"/>
      <c r="K122" s="1"/>
      <c r="L122" s="1"/>
      <c r="M122" s="18"/>
      <c r="N122" s="6" t="s">
        <v>179</v>
      </c>
      <c r="O122" s="1" t="s">
        <v>180</v>
      </c>
      <c r="P122" s="1" t="s">
        <v>165</v>
      </c>
      <c r="Q122" s="18"/>
    </row>
    <row r="123" spans="3:17" outlineLevel="2" x14ac:dyDescent="0.25">
      <c r="C123" s="6"/>
      <c r="D123" t="s">
        <v>170</v>
      </c>
      <c r="F123" t="s">
        <v>27</v>
      </c>
      <c r="G123"/>
      <c r="H123" s="62"/>
      <c r="M123" s="12"/>
      <c r="N123" s="64" t="s">
        <v>95</v>
      </c>
      <c r="O123" s="65" t="s">
        <v>95</v>
      </c>
      <c r="P123" s="65" t="s">
        <v>95</v>
      </c>
      <c r="Q123" s="66" t="s">
        <v>95</v>
      </c>
    </row>
    <row r="124" spans="3:17" outlineLevel="2" x14ac:dyDescent="0.25">
      <c r="C124" s="6"/>
      <c r="D124" t="s">
        <v>190</v>
      </c>
      <c r="F124" t="s">
        <v>27</v>
      </c>
      <c r="G124"/>
      <c r="H124" s="62"/>
      <c r="M124" s="12"/>
      <c r="N124" s="65" t="s">
        <v>108</v>
      </c>
      <c r="O124" s="65" t="s">
        <v>108</v>
      </c>
      <c r="P124" s="65" t="s">
        <v>108</v>
      </c>
      <c r="Q124" s="66" t="s">
        <v>95</v>
      </c>
    </row>
    <row r="125" spans="3:17" outlineLevel="2" x14ac:dyDescent="0.25">
      <c r="C125" s="6"/>
      <c r="D125" t="s">
        <v>181</v>
      </c>
      <c r="F125" t="s">
        <v>27</v>
      </c>
      <c r="G125"/>
      <c r="H125" s="62"/>
      <c r="M125" s="12"/>
      <c r="N125" s="64" t="s">
        <v>95</v>
      </c>
      <c r="O125" s="65" t="s">
        <v>95</v>
      </c>
      <c r="P125" s="65" t="s">
        <v>95</v>
      </c>
      <c r="Q125" s="66" t="s">
        <v>95</v>
      </c>
    </row>
    <row r="126" spans="3:17" outlineLevel="2" x14ac:dyDescent="0.25">
      <c r="C126" s="6"/>
      <c r="F126" t="s">
        <v>107</v>
      </c>
      <c r="G126"/>
      <c r="H126" s="62"/>
      <c r="M126" s="12"/>
      <c r="N126" s="64" t="s">
        <v>95</v>
      </c>
      <c r="O126" s="65" t="s">
        <v>95</v>
      </c>
      <c r="P126" s="65" t="s">
        <v>95</v>
      </c>
      <c r="Q126" s="66" t="s">
        <v>95</v>
      </c>
    </row>
    <row r="127" spans="3:17" outlineLevel="1" x14ac:dyDescent="0.25">
      <c r="C127" s="9"/>
      <c r="D127" s="5" t="str">
        <f>G21</f>
        <v>Satlantic PAR</v>
      </c>
      <c r="E127" s="3" t="str">
        <f>IF(H21="Y",IF(COUNTIF(F128:G132,"Y")+COUNTIF(F128:G132,"na")+COUNTIF(F128:G132,"n/a")=COUNTA(F128:G132), "Complete", "Incomplete"),"Complete")</f>
        <v>Incomplete</v>
      </c>
      <c r="F127" s="4"/>
      <c r="G127" s="98"/>
      <c r="H127" s="63"/>
      <c r="I127" s="1"/>
      <c r="J127" s="1"/>
      <c r="K127" s="1"/>
      <c r="L127" s="1"/>
      <c r="M127" s="18"/>
      <c r="N127" s="6" t="s">
        <v>179</v>
      </c>
      <c r="O127" s="1" t="s">
        <v>180</v>
      </c>
      <c r="P127" s="1" t="s">
        <v>165</v>
      </c>
      <c r="Q127" s="18"/>
    </row>
    <row r="128" spans="3:17" ht="15" customHeight="1" outlineLevel="2" x14ac:dyDescent="0.25">
      <c r="C128" s="6"/>
      <c r="D128" t="s">
        <v>170</v>
      </c>
      <c r="F128" t="s">
        <v>27</v>
      </c>
      <c r="G128"/>
      <c r="H128" s="62"/>
      <c r="M128" s="12"/>
      <c r="N128" s="64" t="s">
        <v>95</v>
      </c>
      <c r="O128" s="65" t="s">
        <v>95</v>
      </c>
      <c r="P128" s="65" t="s">
        <v>95</v>
      </c>
      <c r="Q128" s="66" t="s">
        <v>95</v>
      </c>
    </row>
    <row r="129" spans="3:17" ht="15" customHeight="1" outlineLevel="2" x14ac:dyDescent="0.25">
      <c r="C129" s="6"/>
      <c r="D129" t="s">
        <v>181</v>
      </c>
      <c r="F129" t="s">
        <v>27</v>
      </c>
      <c r="G129"/>
      <c r="H129" s="62"/>
      <c r="M129" s="12"/>
      <c r="N129" s="65" t="s">
        <v>108</v>
      </c>
      <c r="O129" s="65" t="s">
        <v>108</v>
      </c>
      <c r="P129" s="65" t="s">
        <v>108</v>
      </c>
      <c r="Q129" s="66" t="s">
        <v>95</v>
      </c>
    </row>
    <row r="130" spans="3:17" ht="15" customHeight="1" outlineLevel="2" x14ac:dyDescent="0.25">
      <c r="C130" s="6"/>
      <c r="D130" t="s">
        <v>191</v>
      </c>
      <c r="F130" t="s">
        <v>27</v>
      </c>
      <c r="G130"/>
      <c r="H130" s="62"/>
      <c r="M130" s="12"/>
      <c r="N130" s="64" t="s">
        <v>95</v>
      </c>
      <c r="O130" s="65" t="s">
        <v>95</v>
      </c>
      <c r="P130" s="65" t="s">
        <v>95</v>
      </c>
      <c r="Q130" s="66" t="s">
        <v>95</v>
      </c>
    </row>
    <row r="131" spans="3:17" ht="15" customHeight="1" outlineLevel="2" x14ac:dyDescent="0.25">
      <c r="C131" s="6"/>
      <c r="D131" s="71" t="s">
        <v>192</v>
      </c>
      <c r="E131" s="71"/>
      <c r="F131" t="s">
        <v>27</v>
      </c>
      <c r="G131"/>
      <c r="H131" s="62"/>
      <c r="M131" s="12"/>
      <c r="N131" s="64" t="s">
        <v>95</v>
      </c>
      <c r="O131" s="65" t="s">
        <v>95</v>
      </c>
      <c r="P131" s="65" t="s">
        <v>95</v>
      </c>
      <c r="Q131" s="66" t="s">
        <v>95</v>
      </c>
    </row>
    <row r="132" spans="3:17" ht="15" customHeight="1" outlineLevel="2" x14ac:dyDescent="0.25">
      <c r="C132" s="6"/>
      <c r="F132" t="s">
        <v>107</v>
      </c>
      <c r="G132"/>
      <c r="H132" s="62"/>
      <c r="M132" s="12"/>
      <c r="N132" s="64" t="s">
        <v>95</v>
      </c>
      <c r="O132" s="65" t="s">
        <v>95</v>
      </c>
      <c r="P132" s="65" t="s">
        <v>95</v>
      </c>
      <c r="Q132" s="66" t="s">
        <v>95</v>
      </c>
    </row>
    <row r="133" spans="3:17" outlineLevel="1" x14ac:dyDescent="0.25">
      <c r="C133" s="9"/>
      <c r="D133" s="5" t="str">
        <f>G23</f>
        <v xml:space="preserve">ADCP down </v>
      </c>
      <c r="E133" s="3" t="str">
        <f>IF(H23="y",IF(COUNTIF(F134:G136,"Y")+COUNTIF(F134:G136,"na")+COUNTIF(F134:G136,"n/a")=COUNTA(F134:G136), "Complete", "Incomplete"),"Complete")</f>
        <v>Incomplete</v>
      </c>
      <c r="F133" s="4"/>
      <c r="G133" s="98"/>
      <c r="H133" s="63"/>
      <c r="I133" s="1"/>
      <c r="J133" s="1"/>
      <c r="K133" s="1"/>
      <c r="L133" s="1"/>
      <c r="M133" s="18"/>
      <c r="N133" s="6" t="s">
        <v>179</v>
      </c>
      <c r="O133" s="1" t="s">
        <v>180</v>
      </c>
      <c r="P133" s="1" t="s">
        <v>165</v>
      </c>
      <c r="Q133" s="18"/>
    </row>
    <row r="134" spans="3:17" ht="15" customHeight="1" outlineLevel="2" x14ac:dyDescent="0.25">
      <c r="C134" s="6"/>
      <c r="D134" t="s">
        <v>170</v>
      </c>
      <c r="F134" t="s">
        <v>27</v>
      </c>
      <c r="G134"/>
      <c r="H134" s="62"/>
      <c r="M134" s="12"/>
      <c r="N134" s="64" t="s">
        <v>95</v>
      </c>
      <c r="O134" s="65" t="s">
        <v>95</v>
      </c>
      <c r="P134" s="65" t="s">
        <v>95</v>
      </c>
      <c r="Q134" s="66" t="s">
        <v>95</v>
      </c>
    </row>
    <row r="135" spans="3:17" ht="15" customHeight="1" outlineLevel="2" x14ac:dyDescent="0.25">
      <c r="C135" s="6"/>
      <c r="D135" t="s">
        <v>181</v>
      </c>
      <c r="F135" t="s">
        <v>27</v>
      </c>
      <c r="G135"/>
      <c r="H135" s="62"/>
      <c r="M135" s="12"/>
      <c r="N135" s="65" t="s">
        <v>108</v>
      </c>
      <c r="O135" s="65" t="s">
        <v>108</v>
      </c>
      <c r="P135" s="65" t="s">
        <v>108</v>
      </c>
      <c r="Q135" s="66" t="s">
        <v>95</v>
      </c>
    </row>
    <row r="136" spans="3:17" ht="15" customHeight="1" outlineLevel="2" x14ac:dyDescent="0.25">
      <c r="C136" s="6"/>
      <c r="F136" t="s">
        <v>107</v>
      </c>
      <c r="G136"/>
      <c r="H136" s="62"/>
      <c r="M136" s="12"/>
      <c r="N136" s="64" t="s">
        <v>95</v>
      </c>
      <c r="O136" s="65" t="s">
        <v>95</v>
      </c>
      <c r="P136" s="65" t="s">
        <v>95</v>
      </c>
      <c r="Q136" s="66" t="s">
        <v>95</v>
      </c>
    </row>
    <row r="137" spans="3:17" outlineLevel="1" x14ac:dyDescent="0.25">
      <c r="C137" s="9"/>
      <c r="D137" s="119" t="s">
        <v>67</v>
      </c>
      <c r="E137" s="119"/>
      <c r="F137" s="3" t="str">
        <f>IF(COUNTIF(F138:G146,"Y")+COUNTIF(F138:G146,"na")+COUNTIF(F138:G146,"n/a")=COUNTA(F138:G146), "Complete", "Incomplete")</f>
        <v>Incomplete</v>
      </c>
      <c r="G137" s="97"/>
      <c r="H137" s="63"/>
      <c r="I137" s="1"/>
      <c r="J137" s="1"/>
      <c r="K137" s="1"/>
      <c r="L137" s="1"/>
      <c r="M137" s="18"/>
      <c r="N137" s="1" t="s">
        <v>165</v>
      </c>
      <c r="O137" s="1"/>
      <c r="P137" s="1"/>
      <c r="Q137" s="18"/>
    </row>
    <row r="138" spans="3:17" outlineLevel="1" x14ac:dyDescent="0.25">
      <c r="C138" s="72" t="s">
        <v>193</v>
      </c>
      <c r="D138" t="s">
        <v>194</v>
      </c>
      <c r="F138" t="s">
        <v>27</v>
      </c>
      <c r="G138"/>
      <c r="H138" s="62"/>
      <c r="M138" s="12"/>
      <c r="N138" s="64" t="s">
        <v>95</v>
      </c>
      <c r="O138" s="65" t="s">
        <v>95</v>
      </c>
      <c r="P138" s="65" t="s">
        <v>95</v>
      </c>
      <c r="Q138" s="66" t="s">
        <v>95</v>
      </c>
    </row>
    <row r="139" spans="3:17" outlineLevel="1" x14ac:dyDescent="0.25">
      <c r="C139" s="6"/>
      <c r="D139" t="s">
        <v>195</v>
      </c>
      <c r="F139" t="s">
        <v>27</v>
      </c>
      <c r="G139"/>
      <c r="H139" s="62"/>
      <c r="M139" s="12"/>
      <c r="N139" s="64" t="s">
        <v>95</v>
      </c>
      <c r="O139" s="65" t="s">
        <v>95</v>
      </c>
      <c r="P139" s="65" t="s">
        <v>95</v>
      </c>
      <c r="Q139" s="66" t="s">
        <v>95</v>
      </c>
    </row>
    <row r="140" spans="3:17" outlineLevel="1" x14ac:dyDescent="0.25">
      <c r="C140" s="6"/>
      <c r="D140" t="s">
        <v>196</v>
      </c>
      <c r="F140" t="s">
        <v>27</v>
      </c>
      <c r="G140"/>
      <c r="H140" s="62"/>
      <c r="M140" s="12"/>
      <c r="N140" s="64" t="s">
        <v>95</v>
      </c>
      <c r="O140" s="65" t="s">
        <v>95</v>
      </c>
      <c r="P140" s="65" t="s">
        <v>95</v>
      </c>
      <c r="Q140" s="66" t="s">
        <v>95</v>
      </c>
    </row>
    <row r="141" spans="3:17" outlineLevel="1" x14ac:dyDescent="0.25">
      <c r="C141" s="6"/>
      <c r="D141" t="s">
        <v>172</v>
      </c>
      <c r="F141" t="s">
        <v>27</v>
      </c>
      <c r="G141"/>
      <c r="H141" s="62"/>
      <c r="M141" s="12"/>
      <c r="N141" s="64" t="s">
        <v>95</v>
      </c>
      <c r="O141" s="65" t="s">
        <v>95</v>
      </c>
      <c r="P141" s="65" t="s">
        <v>95</v>
      </c>
      <c r="Q141" s="66" t="s">
        <v>95</v>
      </c>
    </row>
    <row r="142" spans="3:17" outlineLevel="1" x14ac:dyDescent="0.25">
      <c r="C142" s="6"/>
      <c r="D142" t="s">
        <v>197</v>
      </c>
      <c r="F142" t="s">
        <v>27</v>
      </c>
      <c r="G142" s="173"/>
      <c r="H142" s="62"/>
      <c r="I142" s="25"/>
      <c r="M142" s="12"/>
      <c r="N142" s="64" t="s">
        <v>95</v>
      </c>
      <c r="O142" s="65" t="s">
        <v>95</v>
      </c>
      <c r="P142" s="65" t="s">
        <v>95</v>
      </c>
      <c r="Q142" s="66" t="s">
        <v>95</v>
      </c>
    </row>
    <row r="143" spans="3:17" outlineLevel="1" x14ac:dyDescent="0.25">
      <c r="C143" s="6"/>
      <c r="D143" t="s">
        <v>198</v>
      </c>
      <c r="F143" t="s">
        <v>27</v>
      </c>
      <c r="G143" s="173"/>
      <c r="H143" s="62"/>
      <c r="I143" s="25"/>
      <c r="M143" s="12"/>
      <c r="N143" s="64" t="s">
        <v>95</v>
      </c>
      <c r="O143" s="65" t="s">
        <v>95</v>
      </c>
      <c r="P143" s="65" t="s">
        <v>95</v>
      </c>
      <c r="Q143" s="66" t="s">
        <v>95</v>
      </c>
    </row>
    <row r="144" spans="3:17" outlineLevel="1" x14ac:dyDescent="0.25">
      <c r="C144" s="6"/>
      <c r="D144" t="s">
        <v>456</v>
      </c>
      <c r="F144" t="s">
        <v>27</v>
      </c>
      <c r="G144"/>
      <c r="H144" s="62"/>
      <c r="M144" s="12"/>
      <c r="N144" s="64" t="s">
        <v>95</v>
      </c>
      <c r="O144" s="65" t="s">
        <v>95</v>
      </c>
      <c r="P144" s="65" t="s">
        <v>95</v>
      </c>
      <c r="Q144" s="66" t="s">
        <v>95</v>
      </c>
    </row>
    <row r="145" spans="3:17" outlineLevel="1" x14ac:dyDescent="0.25">
      <c r="C145" s="6"/>
      <c r="D145" t="s">
        <v>199</v>
      </c>
      <c r="F145" t="s">
        <v>27</v>
      </c>
      <c r="G145"/>
      <c r="H145" s="62"/>
      <c r="M145" s="12"/>
      <c r="N145" s="64"/>
      <c r="O145" s="65"/>
      <c r="P145" s="65" t="s">
        <v>95</v>
      </c>
      <c r="Q145" s="66" t="s">
        <v>95</v>
      </c>
    </row>
    <row r="146" spans="3:17" outlineLevel="1" x14ac:dyDescent="0.25">
      <c r="C146" s="6"/>
      <c r="D146" t="s">
        <v>200</v>
      </c>
      <c r="F146" t="s">
        <v>27</v>
      </c>
      <c r="G146"/>
      <c r="H146" s="62"/>
      <c r="M146" s="12"/>
      <c r="N146" s="64" t="s">
        <v>95</v>
      </c>
      <c r="O146" s="65" t="s">
        <v>95</v>
      </c>
      <c r="P146" s="65" t="s">
        <v>95</v>
      </c>
      <c r="Q146" s="66" t="s">
        <v>95</v>
      </c>
    </row>
    <row r="147" spans="3:17" outlineLevel="1" x14ac:dyDescent="0.25">
      <c r="C147" s="171" t="s">
        <v>201</v>
      </c>
      <c r="D147" s="172"/>
      <c r="E147" s="172"/>
      <c r="F147" s="172"/>
      <c r="G147" s="91" t="str">
        <f>IF(COUNTIF(F148:G151,"Y")+COUNTIF(F148:G151,"na")+COUNTIF(F148:G151,"n/a")=COUNTA(F148:G151), "Complete", "Incomplete")</f>
        <v>Incomplete</v>
      </c>
      <c r="H147" s="63"/>
      <c r="I147" s="1"/>
      <c r="J147" s="1"/>
      <c r="K147" s="1"/>
      <c r="L147" s="1"/>
      <c r="M147" s="18"/>
      <c r="N147" s="6" t="s">
        <v>202</v>
      </c>
      <c r="O147" s="1"/>
      <c r="P147" s="1"/>
      <c r="Q147" s="18"/>
    </row>
    <row r="148" spans="3:17" outlineLevel="1" x14ac:dyDescent="0.25">
      <c r="C148" s="6"/>
      <c r="D148" t="s">
        <v>203</v>
      </c>
      <c r="F148" t="s">
        <v>27</v>
      </c>
      <c r="G148"/>
      <c r="H148" s="62"/>
      <c r="M148" s="12"/>
      <c r="N148" s="64" t="s">
        <v>95</v>
      </c>
      <c r="O148" s="65" t="s">
        <v>95</v>
      </c>
      <c r="P148" s="65" t="s">
        <v>95</v>
      </c>
      <c r="Q148" s="66" t="s">
        <v>95</v>
      </c>
    </row>
    <row r="149" spans="3:17" outlineLevel="1" x14ac:dyDescent="0.25">
      <c r="C149" s="6"/>
      <c r="D149" t="s">
        <v>204</v>
      </c>
      <c r="F149" t="s">
        <v>27</v>
      </c>
      <c r="G149"/>
      <c r="H149" s="62"/>
      <c r="M149" s="12"/>
      <c r="N149" s="64" t="s">
        <v>95</v>
      </c>
      <c r="O149" s="65" t="s">
        <v>95</v>
      </c>
      <c r="P149" s="65" t="s">
        <v>95</v>
      </c>
      <c r="Q149" s="66" t="s">
        <v>95</v>
      </c>
    </row>
    <row r="150" spans="3:17" outlineLevel="1" x14ac:dyDescent="0.25">
      <c r="C150" s="6"/>
      <c r="D150" t="s">
        <v>205</v>
      </c>
      <c r="F150" t="s">
        <v>27</v>
      </c>
      <c r="G150"/>
      <c r="H150" s="62"/>
      <c r="M150" s="12"/>
      <c r="N150" s="64" t="s">
        <v>95</v>
      </c>
      <c r="O150" s="65" t="s">
        <v>95</v>
      </c>
      <c r="P150" s="65" t="s">
        <v>95</v>
      </c>
      <c r="Q150" s="66" t="s">
        <v>95</v>
      </c>
    </row>
    <row r="151" spans="3:17" outlineLevel="1" x14ac:dyDescent="0.25">
      <c r="C151" s="6"/>
      <c r="D151" t="s">
        <v>206</v>
      </c>
      <c r="F151" t="s">
        <v>27</v>
      </c>
      <c r="G151"/>
      <c r="H151" s="62"/>
      <c r="M151" s="12"/>
      <c r="N151" s="64" t="s">
        <v>108</v>
      </c>
      <c r="O151" s="65" t="s">
        <v>95</v>
      </c>
      <c r="P151" s="65" t="s">
        <v>95</v>
      </c>
      <c r="Q151" s="66" t="s">
        <v>95</v>
      </c>
    </row>
    <row r="152" spans="3:17" outlineLevel="1" x14ac:dyDescent="0.25">
      <c r="C152" s="171" t="s">
        <v>207</v>
      </c>
      <c r="D152" s="172"/>
      <c r="E152" s="172"/>
      <c r="F152" s="172"/>
      <c r="G152" s="91" t="str">
        <f>IF(AND(COUNTIF(F153:G154,"Y")+COUNTIF(F153:G154,"na")+COUNTIF(F153:G154,"n/a")=COUNTA(F153:G154),F155="complete",F167="complete"), "Complete", "Incomplete")</f>
        <v>Incomplete</v>
      </c>
      <c r="H152" s="63"/>
      <c r="I152" s="1"/>
      <c r="J152" s="1"/>
      <c r="K152" s="1"/>
      <c r="L152" s="1"/>
      <c r="M152" s="18"/>
      <c r="N152" s="6"/>
      <c r="O152" s="1"/>
      <c r="P152" s="1"/>
      <c r="Q152" s="18"/>
    </row>
    <row r="153" spans="3:17" outlineLevel="1" x14ac:dyDescent="0.25">
      <c r="C153" s="6"/>
      <c r="D153" t="s">
        <v>208</v>
      </c>
      <c r="F153" t="s">
        <v>94</v>
      </c>
      <c r="G153"/>
      <c r="H153" s="62"/>
      <c r="M153" s="12"/>
      <c r="N153" s="64" t="s">
        <v>95</v>
      </c>
      <c r="O153" s="65" t="s">
        <v>95</v>
      </c>
      <c r="P153" s="65" t="s">
        <v>95</v>
      </c>
      <c r="Q153" s="66" t="s">
        <v>95</v>
      </c>
    </row>
    <row r="154" spans="3:17" outlineLevel="1" x14ac:dyDescent="0.25">
      <c r="C154" s="6"/>
      <c r="D154" t="s">
        <v>209</v>
      </c>
      <c r="F154" s="168" t="s">
        <v>107</v>
      </c>
      <c r="G154" s="168"/>
      <c r="H154" s="75"/>
      <c r="M154" s="12"/>
      <c r="N154" s="64" t="s">
        <v>95</v>
      </c>
      <c r="O154" s="65" t="s">
        <v>95</v>
      </c>
      <c r="P154" s="65" t="s">
        <v>95</v>
      </c>
      <c r="Q154" s="66" t="s">
        <v>95</v>
      </c>
    </row>
    <row r="155" spans="3:17" outlineLevel="1" x14ac:dyDescent="0.25">
      <c r="C155" s="9"/>
      <c r="D155" s="119" t="s">
        <v>210</v>
      </c>
      <c r="E155" s="119"/>
      <c r="F155" s="120" t="str">
        <f>IF(COUNTIF(F156:G166,"Y")+COUNTIF(F156:G166,"na")+COUNTIF(F156:G166,"n/a")=COUNTA(F156:G166), "Complete", "Incomplete")</f>
        <v>Incomplete</v>
      </c>
      <c r="G155" s="121"/>
      <c r="H155" s="63"/>
      <c r="I155" s="1"/>
      <c r="J155" s="1"/>
      <c r="K155" s="1"/>
      <c r="L155" s="1"/>
      <c r="M155" s="18"/>
      <c r="N155" s="6"/>
      <c r="O155" s="1"/>
      <c r="P155" s="1"/>
      <c r="Q155" s="18"/>
    </row>
    <row r="156" spans="3:17" outlineLevel="1" x14ac:dyDescent="0.25">
      <c r="C156" s="10"/>
      <c r="D156" s="3" t="s">
        <v>211</v>
      </c>
      <c r="E156" s="67" t="s">
        <v>212</v>
      </c>
      <c r="F156" s="168" t="s">
        <v>107</v>
      </c>
      <c r="G156" s="168"/>
      <c r="H156" s="75"/>
      <c r="I156" t="s">
        <v>213</v>
      </c>
      <c r="M156" s="12"/>
      <c r="N156" s="64" t="s">
        <v>95</v>
      </c>
      <c r="O156" s="65" t="s">
        <v>95</v>
      </c>
      <c r="P156" s="65" t="s">
        <v>95</v>
      </c>
      <c r="Q156" s="66" t="s">
        <v>95</v>
      </c>
    </row>
    <row r="157" spans="3:17" outlineLevel="1" x14ac:dyDescent="0.25">
      <c r="C157" s="10"/>
      <c r="D157" t="s">
        <v>214</v>
      </c>
      <c r="E157" s="67"/>
      <c r="F157" s="168" t="str">
        <f>IF(E157="","na","Y")</f>
        <v>na</v>
      </c>
      <c r="G157" s="168"/>
      <c r="H157" s="75"/>
      <c r="I157" s="196">
        <f t="shared" ref="I157:I164" si="0">DEGREES(E157)</f>
        <v>0</v>
      </c>
      <c r="J157" s="196"/>
      <c r="K157" s="196"/>
      <c r="L157" s="196"/>
      <c r="M157" s="197"/>
      <c r="N157" s="64" t="s">
        <v>95</v>
      </c>
      <c r="O157" s="65" t="s">
        <v>95</v>
      </c>
      <c r="P157" s="65" t="s">
        <v>95</v>
      </c>
      <c r="Q157" s="66" t="s">
        <v>95</v>
      </c>
    </row>
    <row r="158" spans="3:17" outlineLevel="1" x14ac:dyDescent="0.25">
      <c r="C158" s="10"/>
      <c r="D158" t="s">
        <v>215</v>
      </c>
      <c r="E158" s="67"/>
      <c r="F158" s="168" t="str">
        <f t="shared" ref="F158:F164" si="1">IF(E158="","na","Y")</f>
        <v>na</v>
      </c>
      <c r="G158" s="168"/>
      <c r="H158" s="75"/>
      <c r="I158" s="196">
        <f t="shared" si="0"/>
        <v>0</v>
      </c>
      <c r="J158" s="196"/>
      <c r="K158" s="196"/>
      <c r="L158" s="196"/>
      <c r="M158" s="197"/>
      <c r="N158" s="64" t="s">
        <v>95</v>
      </c>
      <c r="O158" s="65" t="s">
        <v>95</v>
      </c>
      <c r="P158" s="65" t="s">
        <v>95</v>
      </c>
      <c r="Q158" s="66" t="s">
        <v>95</v>
      </c>
    </row>
    <row r="159" spans="3:17" outlineLevel="1" x14ac:dyDescent="0.25">
      <c r="C159" s="10"/>
      <c r="D159" t="s">
        <v>216</v>
      </c>
      <c r="E159" s="67"/>
      <c r="F159" s="168" t="str">
        <f t="shared" si="1"/>
        <v>na</v>
      </c>
      <c r="G159" s="168"/>
      <c r="H159" s="75"/>
      <c r="I159" s="196">
        <f t="shared" si="0"/>
        <v>0</v>
      </c>
      <c r="J159" s="196"/>
      <c r="K159" s="196"/>
      <c r="L159" s="196"/>
      <c r="M159" s="197"/>
      <c r="N159" s="64" t="s">
        <v>95</v>
      </c>
      <c r="O159" s="65" t="s">
        <v>95</v>
      </c>
      <c r="P159" s="65" t="s">
        <v>95</v>
      </c>
      <c r="Q159" s="66" t="s">
        <v>95</v>
      </c>
    </row>
    <row r="160" spans="3:17" outlineLevel="1" x14ac:dyDescent="0.25">
      <c r="C160" s="10"/>
      <c r="D160" t="s">
        <v>217</v>
      </c>
      <c r="E160" s="67"/>
      <c r="F160" s="168" t="str">
        <f t="shared" si="1"/>
        <v>na</v>
      </c>
      <c r="G160" s="168"/>
      <c r="H160" s="75"/>
      <c r="I160" s="196">
        <f t="shared" si="0"/>
        <v>0</v>
      </c>
      <c r="J160" s="196"/>
      <c r="K160" s="196"/>
      <c r="L160" s="196"/>
      <c r="M160" s="197"/>
      <c r="N160" s="64" t="s">
        <v>95</v>
      </c>
      <c r="O160" s="65" t="s">
        <v>95</v>
      </c>
      <c r="P160" s="65" t="s">
        <v>95</v>
      </c>
      <c r="Q160" s="66" t="s">
        <v>95</v>
      </c>
    </row>
    <row r="161" spans="3:17" outlineLevel="1" x14ac:dyDescent="0.25">
      <c r="C161" s="10"/>
      <c r="D161" t="s">
        <v>218</v>
      </c>
      <c r="E161" s="67"/>
      <c r="F161" s="168" t="str">
        <f t="shared" si="1"/>
        <v>na</v>
      </c>
      <c r="G161" s="168"/>
      <c r="H161" s="75"/>
      <c r="I161" s="196">
        <f t="shared" si="0"/>
        <v>0</v>
      </c>
      <c r="J161" s="196"/>
      <c r="K161" s="196"/>
      <c r="L161" s="196"/>
      <c r="M161" s="197"/>
      <c r="N161" s="64" t="s">
        <v>95</v>
      </c>
      <c r="O161" s="65" t="s">
        <v>95</v>
      </c>
      <c r="P161" s="65" t="s">
        <v>95</v>
      </c>
      <c r="Q161" s="66" t="s">
        <v>95</v>
      </c>
    </row>
    <row r="162" spans="3:17" outlineLevel="1" x14ac:dyDescent="0.25">
      <c r="C162" s="10"/>
      <c r="D162" t="s">
        <v>219</v>
      </c>
      <c r="E162" s="67"/>
      <c r="F162" s="168" t="str">
        <f t="shared" si="1"/>
        <v>na</v>
      </c>
      <c r="G162" s="168"/>
      <c r="H162" s="75"/>
      <c r="I162" s="196">
        <f t="shared" si="0"/>
        <v>0</v>
      </c>
      <c r="J162" s="196"/>
      <c r="K162" s="196"/>
      <c r="L162" s="196"/>
      <c r="M162" s="197"/>
      <c r="N162" s="64" t="s">
        <v>95</v>
      </c>
      <c r="O162" s="65" t="s">
        <v>95</v>
      </c>
      <c r="P162" s="65" t="s">
        <v>95</v>
      </c>
      <c r="Q162" s="66" t="s">
        <v>95</v>
      </c>
    </row>
    <row r="163" spans="3:17" outlineLevel="1" x14ac:dyDescent="0.25">
      <c r="C163" s="10"/>
      <c r="D163" t="s">
        <v>220</v>
      </c>
      <c r="E163" s="67"/>
      <c r="F163" s="168" t="str">
        <f t="shared" si="1"/>
        <v>na</v>
      </c>
      <c r="G163" s="168"/>
      <c r="H163" s="75"/>
      <c r="I163" s="196">
        <f t="shared" si="0"/>
        <v>0</v>
      </c>
      <c r="J163" s="196"/>
      <c r="K163" s="196"/>
      <c r="L163" s="196"/>
      <c r="M163" s="197"/>
      <c r="N163" s="64" t="s">
        <v>95</v>
      </c>
      <c r="O163" s="65" t="s">
        <v>95</v>
      </c>
      <c r="P163" s="65" t="s">
        <v>95</v>
      </c>
      <c r="Q163" s="66" t="s">
        <v>95</v>
      </c>
    </row>
    <row r="164" spans="3:17" outlineLevel="1" x14ac:dyDescent="0.25">
      <c r="C164" s="10"/>
      <c r="D164" t="s">
        <v>221</v>
      </c>
      <c r="E164" s="67"/>
      <c r="F164" s="168" t="str">
        <f t="shared" si="1"/>
        <v>na</v>
      </c>
      <c r="G164" s="168"/>
      <c r="H164" s="75"/>
      <c r="I164" s="196">
        <f t="shared" si="0"/>
        <v>0</v>
      </c>
      <c r="J164" s="196"/>
      <c r="K164" s="196"/>
      <c r="L164" s="196"/>
      <c r="M164" s="197"/>
      <c r="N164" s="64" t="s">
        <v>95</v>
      </c>
      <c r="O164" s="65" t="s">
        <v>95</v>
      </c>
      <c r="P164" s="65" t="s">
        <v>95</v>
      </c>
      <c r="Q164" s="66" t="s">
        <v>95</v>
      </c>
    </row>
    <row r="165" spans="3:17" outlineLevel="1" x14ac:dyDescent="0.25">
      <c r="C165" s="6"/>
      <c r="D165" t="s">
        <v>222</v>
      </c>
      <c r="F165" s="168" t="s">
        <v>27</v>
      </c>
      <c r="G165" s="168"/>
      <c r="H165" s="75"/>
      <c r="I165" s="143" t="s">
        <v>223</v>
      </c>
      <c r="J165" s="3"/>
      <c r="K165" s="3"/>
      <c r="L165">
        <f>constants!D44</f>
        <v>0</v>
      </c>
      <c r="M165" s="12"/>
      <c r="N165" s="64" t="s">
        <v>95</v>
      </c>
      <c r="O165" s="65" t="s">
        <v>95</v>
      </c>
      <c r="P165" s="65" t="s">
        <v>95</v>
      </c>
      <c r="Q165" s="66" t="s">
        <v>95</v>
      </c>
    </row>
    <row r="166" spans="3:17" s="77" customFormat="1" ht="28.5" customHeight="1" outlineLevel="1" x14ac:dyDescent="0.25">
      <c r="C166" s="123"/>
      <c r="D166" s="77" t="s">
        <v>224</v>
      </c>
      <c r="F166" s="198" t="s">
        <v>27</v>
      </c>
      <c r="G166" s="198"/>
      <c r="H166" s="124"/>
      <c r="I166" s="195"/>
      <c r="J166" s="166"/>
      <c r="K166" s="166"/>
      <c r="M166" s="161"/>
      <c r="N166" s="125" t="s">
        <v>95</v>
      </c>
      <c r="O166" s="126" t="s">
        <v>95</v>
      </c>
      <c r="P166" s="126" t="s">
        <v>95</v>
      </c>
      <c r="Q166" s="127" t="s">
        <v>95</v>
      </c>
    </row>
    <row r="167" spans="3:17" ht="15.75" customHeight="1" outlineLevel="1" x14ac:dyDescent="0.25">
      <c r="C167" s="9"/>
      <c r="D167" s="119" t="str">
        <f>IF(F166="N","Run a compass calibration and check post cal values here", "Compass Calibration NOT needed")</f>
        <v>Run a compass calibration and check post cal values here</v>
      </c>
      <c r="E167" s="119"/>
      <c r="F167" s="120" t="str">
        <f>IF(F166="N",IF(COUNTIF(F168:G177,"Y")+COUNTIF(F168:G177,"na")+COUNTIF(F168:G177,"n/a")=COUNTA(F168:G177), "Complete", "Incomplete"),"Complete")</f>
        <v>Incomplete</v>
      </c>
      <c r="G167" s="121"/>
      <c r="H167" s="63"/>
      <c r="I167" s="1"/>
      <c r="J167" s="1"/>
      <c r="K167" s="1"/>
      <c r="L167" s="1"/>
      <c r="M167" s="18"/>
      <c r="N167" s="6"/>
      <c r="O167" s="1"/>
      <c r="P167" s="1"/>
      <c r="Q167" s="18"/>
    </row>
    <row r="168" spans="3:17" outlineLevel="1" x14ac:dyDescent="0.25">
      <c r="C168" s="10"/>
      <c r="D168" s="3" t="s">
        <v>225</v>
      </c>
      <c r="E168" s="67" t="s">
        <v>212</v>
      </c>
      <c r="F168" s="168" t="s">
        <v>226</v>
      </c>
      <c r="G168" s="168"/>
      <c r="H168" s="75"/>
      <c r="I168" t="s">
        <v>213</v>
      </c>
      <c r="M168" s="12"/>
      <c r="N168" s="64" t="s">
        <v>95</v>
      </c>
      <c r="O168" s="65" t="s">
        <v>95</v>
      </c>
      <c r="P168" s="65" t="s">
        <v>95</v>
      </c>
      <c r="Q168" s="66" t="s">
        <v>95</v>
      </c>
    </row>
    <row r="169" spans="3:17" outlineLevel="1" x14ac:dyDescent="0.25">
      <c r="C169" s="10"/>
      <c r="D169" t="s">
        <v>214</v>
      </c>
      <c r="E169" s="67"/>
      <c r="F169" s="168" t="str">
        <f>IF(E169="","N/A","Y")</f>
        <v>N/A</v>
      </c>
      <c r="G169" s="168"/>
      <c r="H169" s="75"/>
      <c r="I169" s="196">
        <f t="shared" ref="I169:I176" si="2">DEGREES(E169)</f>
        <v>0</v>
      </c>
      <c r="J169" s="196"/>
      <c r="K169" s="196"/>
      <c r="L169" s="196"/>
      <c r="M169" s="197"/>
      <c r="N169" s="64" t="s">
        <v>95</v>
      </c>
      <c r="O169" s="65" t="s">
        <v>95</v>
      </c>
      <c r="P169" s="65" t="s">
        <v>95</v>
      </c>
      <c r="Q169" s="66" t="s">
        <v>95</v>
      </c>
    </row>
    <row r="170" spans="3:17" outlineLevel="1" x14ac:dyDescent="0.25">
      <c r="C170" s="10"/>
      <c r="D170" t="s">
        <v>215</v>
      </c>
      <c r="E170" s="67"/>
      <c r="F170" s="168" t="str">
        <f t="shared" ref="F170:F176" si="3">IF(E170="","N/A","Y")</f>
        <v>N/A</v>
      </c>
      <c r="G170" s="168"/>
      <c r="H170" s="75"/>
      <c r="I170" s="196">
        <f t="shared" si="2"/>
        <v>0</v>
      </c>
      <c r="J170" s="196"/>
      <c r="K170" s="196"/>
      <c r="L170" s="196"/>
      <c r="M170" s="197"/>
      <c r="N170" s="64" t="s">
        <v>95</v>
      </c>
      <c r="O170" s="65" t="s">
        <v>95</v>
      </c>
      <c r="P170" s="65" t="s">
        <v>95</v>
      </c>
      <c r="Q170" s="66" t="s">
        <v>95</v>
      </c>
    </row>
    <row r="171" spans="3:17" outlineLevel="1" x14ac:dyDescent="0.25">
      <c r="C171" s="10"/>
      <c r="D171" t="s">
        <v>216</v>
      </c>
      <c r="E171" s="67"/>
      <c r="F171" s="168" t="str">
        <f t="shared" si="3"/>
        <v>N/A</v>
      </c>
      <c r="G171" s="168"/>
      <c r="H171" s="75"/>
      <c r="I171" s="196">
        <f t="shared" si="2"/>
        <v>0</v>
      </c>
      <c r="J171" s="196"/>
      <c r="K171" s="196"/>
      <c r="L171" s="196"/>
      <c r="M171" s="197"/>
      <c r="N171" s="64" t="s">
        <v>95</v>
      </c>
      <c r="O171" s="65" t="s">
        <v>95</v>
      </c>
      <c r="P171" s="65" t="s">
        <v>95</v>
      </c>
      <c r="Q171" s="66" t="s">
        <v>95</v>
      </c>
    </row>
    <row r="172" spans="3:17" outlineLevel="1" x14ac:dyDescent="0.25">
      <c r="C172" s="10"/>
      <c r="D172" t="s">
        <v>217</v>
      </c>
      <c r="E172" s="67"/>
      <c r="F172" s="168" t="str">
        <f t="shared" si="3"/>
        <v>N/A</v>
      </c>
      <c r="G172" s="168"/>
      <c r="H172" s="75"/>
      <c r="I172" s="196">
        <f t="shared" si="2"/>
        <v>0</v>
      </c>
      <c r="J172" s="196"/>
      <c r="K172" s="196"/>
      <c r="L172" s="196"/>
      <c r="M172" s="197"/>
      <c r="N172" s="64" t="s">
        <v>95</v>
      </c>
      <c r="O172" s="65" t="s">
        <v>95</v>
      </c>
      <c r="P172" s="65" t="s">
        <v>95</v>
      </c>
      <c r="Q172" s="66" t="s">
        <v>95</v>
      </c>
    </row>
    <row r="173" spans="3:17" outlineLevel="1" x14ac:dyDescent="0.25">
      <c r="C173" s="10"/>
      <c r="D173" t="s">
        <v>218</v>
      </c>
      <c r="E173" s="67"/>
      <c r="F173" s="168" t="str">
        <f t="shared" si="3"/>
        <v>N/A</v>
      </c>
      <c r="G173" s="168"/>
      <c r="H173" s="75"/>
      <c r="I173" s="196">
        <f t="shared" si="2"/>
        <v>0</v>
      </c>
      <c r="J173" s="196"/>
      <c r="K173" s="196"/>
      <c r="L173" s="196"/>
      <c r="M173" s="197"/>
      <c r="N173" s="64" t="s">
        <v>95</v>
      </c>
      <c r="O173" s="65" t="s">
        <v>95</v>
      </c>
      <c r="P173" s="65" t="s">
        <v>95</v>
      </c>
      <c r="Q173" s="66" t="s">
        <v>95</v>
      </c>
    </row>
    <row r="174" spans="3:17" outlineLevel="1" x14ac:dyDescent="0.25">
      <c r="C174" s="10"/>
      <c r="D174" t="s">
        <v>219</v>
      </c>
      <c r="E174" s="67"/>
      <c r="F174" s="168" t="str">
        <f t="shared" si="3"/>
        <v>N/A</v>
      </c>
      <c r="G174" s="168"/>
      <c r="H174" s="75"/>
      <c r="I174" s="196">
        <f t="shared" si="2"/>
        <v>0</v>
      </c>
      <c r="J174" s="196"/>
      <c r="K174" s="196"/>
      <c r="L174" s="196"/>
      <c r="M174" s="197"/>
      <c r="N174" s="64" t="s">
        <v>95</v>
      </c>
      <c r="O174" s="65" t="s">
        <v>95</v>
      </c>
      <c r="P174" s="65" t="s">
        <v>95</v>
      </c>
      <c r="Q174" s="66" t="s">
        <v>95</v>
      </c>
    </row>
    <row r="175" spans="3:17" outlineLevel="1" x14ac:dyDescent="0.25">
      <c r="C175" s="10"/>
      <c r="D175" t="s">
        <v>220</v>
      </c>
      <c r="E175" s="67"/>
      <c r="F175" s="168" t="str">
        <f t="shared" si="3"/>
        <v>N/A</v>
      </c>
      <c r="G175" s="168"/>
      <c r="H175" s="75"/>
      <c r="I175" s="196">
        <f t="shared" si="2"/>
        <v>0</v>
      </c>
      <c r="J175" s="196"/>
      <c r="K175" s="196"/>
      <c r="L175" s="196"/>
      <c r="M175" s="197"/>
      <c r="N175" s="64" t="s">
        <v>95</v>
      </c>
      <c r="O175" s="65" t="s">
        <v>95</v>
      </c>
      <c r="P175" s="65" t="s">
        <v>95</v>
      </c>
      <c r="Q175" s="66" t="s">
        <v>95</v>
      </c>
    </row>
    <row r="176" spans="3:17" outlineLevel="1" x14ac:dyDescent="0.25">
      <c r="C176" s="10"/>
      <c r="D176" t="s">
        <v>221</v>
      </c>
      <c r="E176" s="67"/>
      <c r="F176" s="168" t="str">
        <f t="shared" si="3"/>
        <v>N/A</v>
      </c>
      <c r="G176" s="168"/>
      <c r="H176" s="75"/>
      <c r="I176" s="196">
        <f t="shared" si="2"/>
        <v>0</v>
      </c>
      <c r="J176" s="196"/>
      <c r="K176" s="196"/>
      <c r="L176" s="196"/>
      <c r="M176" s="197"/>
      <c r="N176" s="64" t="s">
        <v>95</v>
      </c>
      <c r="O176" s="65" t="s">
        <v>95</v>
      </c>
      <c r="P176" s="65" t="s">
        <v>95</v>
      </c>
      <c r="Q176" s="66" t="s">
        <v>95</v>
      </c>
    </row>
    <row r="177" spans="1:17" ht="15.75" outlineLevel="1" thickBot="1" x14ac:dyDescent="0.3">
      <c r="C177" s="13"/>
      <c r="D177" s="184" t="s">
        <v>227</v>
      </c>
      <c r="E177" s="184"/>
      <c r="F177" s="189" t="s">
        <v>27</v>
      </c>
      <c r="G177" s="189"/>
      <c r="H177" s="76"/>
      <c r="I177" s="193" t="s">
        <v>223</v>
      </c>
      <c r="J177" s="194"/>
      <c r="K177" s="194"/>
      <c r="L177" s="184" t="str">
        <f>constants!G45</f>
        <v/>
      </c>
      <c r="M177" s="185"/>
      <c r="N177" s="64" t="s">
        <v>95</v>
      </c>
      <c r="O177" s="65" t="s">
        <v>95</v>
      </c>
      <c r="P177" s="65" t="s">
        <v>95</v>
      </c>
      <c r="Q177" s="66" t="s">
        <v>95</v>
      </c>
    </row>
    <row r="178" spans="1:17" ht="42.75" customHeight="1" thickBot="1" x14ac:dyDescent="0.35">
      <c r="A178" s="87"/>
      <c r="B178" s="87"/>
      <c r="C178" s="199" t="s">
        <v>457</v>
      </c>
      <c r="D178" s="200"/>
      <c r="E178" s="201"/>
      <c r="F178" s="202" t="s">
        <v>229</v>
      </c>
      <c r="G178" s="203"/>
      <c r="H178" s="157"/>
      <c r="I178" s="202"/>
      <c r="J178" s="204"/>
      <c r="K178" s="204"/>
      <c r="L178" s="204"/>
      <c r="M178" s="205"/>
      <c r="N178" s="206" t="s">
        <v>230</v>
      </c>
      <c r="O178" s="207"/>
      <c r="P178" s="200" t="s">
        <v>108</v>
      </c>
      <c r="Q178" s="208"/>
    </row>
    <row r="179" spans="1:17" ht="15.75" thickBot="1" x14ac:dyDescent="0.3">
      <c r="C179" s="47"/>
      <c r="D179" s="52"/>
      <c r="E179" s="52"/>
      <c r="F179" s="53"/>
      <c r="G179" s="102"/>
      <c r="H179" s="54"/>
      <c r="I179" s="54"/>
      <c r="J179" s="54"/>
      <c r="K179" s="54"/>
      <c r="L179" s="54"/>
      <c r="M179" s="55"/>
      <c r="N179" s="47"/>
      <c r="O179" s="48"/>
      <c r="P179" s="48"/>
      <c r="Q179" s="49"/>
    </row>
    <row r="180" spans="1:17" ht="28.5" customHeight="1" thickBot="1" x14ac:dyDescent="0.4">
      <c r="C180" s="174" t="str">
        <f>D16</f>
        <v>Tank</v>
      </c>
      <c r="D180" s="175"/>
      <c r="E180" s="175"/>
      <c r="F180" s="14" t="s">
        <v>90</v>
      </c>
      <c r="G180" s="95" t="str">
        <f>IF(E16="Y",IF(AND(G181="complete",G187="complete",G194="complete",G198="complete",F202="confirmed"), "Section Complete", "Section Incomplete"), "Section N/A")</f>
        <v>Section N/A</v>
      </c>
      <c r="H180" s="15" t="s">
        <v>91</v>
      </c>
      <c r="I180" s="169" t="s">
        <v>92</v>
      </c>
      <c r="J180" s="169"/>
      <c r="K180" s="169"/>
      <c r="L180" s="169"/>
      <c r="M180" s="170"/>
      <c r="N180" s="37"/>
      <c r="O180" s="33"/>
      <c r="P180" s="33"/>
      <c r="Q180" s="38"/>
    </row>
    <row r="181" spans="1:17" ht="14.25" customHeight="1" outlineLevel="1" x14ac:dyDescent="0.25">
      <c r="C181" s="171" t="s">
        <v>231</v>
      </c>
      <c r="D181" s="172"/>
      <c r="E181" s="172"/>
      <c r="F181" s="172"/>
      <c r="G181" s="91" t="str">
        <f>IF(COUNTIF(F182:G186,"Y")+COUNTIF(F182:G186,"na")+COUNTIF(F182:G186,"n/a")=COUNTA(F182:G186), "Complete", "Incomplete")</f>
        <v>Incomplete</v>
      </c>
      <c r="H181" s="61"/>
      <c r="I181" s="1"/>
      <c r="J181" s="1"/>
      <c r="K181" s="1"/>
      <c r="L181" s="1"/>
      <c r="M181" s="18"/>
      <c r="N181" s="6"/>
      <c r="O181" s="1"/>
      <c r="P181" s="1"/>
      <c r="Q181" s="18"/>
    </row>
    <row r="182" spans="1:17" outlineLevel="1" x14ac:dyDescent="0.25">
      <c r="C182" s="6"/>
      <c r="D182" t="s">
        <v>232</v>
      </c>
      <c r="F182" s="168" t="s">
        <v>27</v>
      </c>
      <c r="G182" s="168"/>
      <c r="H182" s="74"/>
      <c r="M182" s="12"/>
      <c r="N182" s="64" t="s">
        <v>95</v>
      </c>
      <c r="O182" s="65" t="s">
        <v>95</v>
      </c>
      <c r="P182" s="65" t="s">
        <v>95</v>
      </c>
      <c r="Q182" s="66" t="s">
        <v>95</v>
      </c>
    </row>
    <row r="183" spans="1:17" outlineLevel="1" x14ac:dyDescent="0.25">
      <c r="C183" s="6"/>
      <c r="D183" t="s">
        <v>233</v>
      </c>
      <c r="F183" s="168" t="s">
        <v>27</v>
      </c>
      <c r="G183" s="168"/>
      <c r="H183" s="74"/>
      <c r="M183" s="12"/>
      <c r="N183" s="64" t="s">
        <v>234</v>
      </c>
      <c r="O183" s="65" t="s">
        <v>108</v>
      </c>
      <c r="P183" s="65" t="s">
        <v>235</v>
      </c>
      <c r="Q183" s="66" t="s">
        <v>108</v>
      </c>
    </row>
    <row r="184" spans="1:17" outlineLevel="1" x14ac:dyDescent="0.25">
      <c r="C184" s="6"/>
      <c r="D184" t="s">
        <v>236</v>
      </c>
      <c r="F184" s="168" t="s">
        <v>27</v>
      </c>
      <c r="G184" s="168"/>
      <c r="H184" s="74"/>
      <c r="M184" s="12"/>
      <c r="N184" s="64" t="s">
        <v>95</v>
      </c>
      <c r="O184" s="65" t="s">
        <v>95</v>
      </c>
      <c r="P184" s="65" t="s">
        <v>95</v>
      </c>
      <c r="Q184" s="66" t="s">
        <v>95</v>
      </c>
    </row>
    <row r="185" spans="1:17" outlineLevel="1" x14ac:dyDescent="0.25">
      <c r="C185" s="6"/>
      <c r="D185" t="s">
        <v>237</v>
      </c>
      <c r="F185" s="168" t="s">
        <v>27</v>
      </c>
      <c r="G185" s="168"/>
      <c r="H185" s="75"/>
      <c r="M185" s="12"/>
      <c r="N185" s="64" t="s">
        <v>95</v>
      </c>
      <c r="O185" s="65" t="s">
        <v>95</v>
      </c>
      <c r="P185" s="65" t="s">
        <v>95</v>
      </c>
      <c r="Q185" s="66" t="s">
        <v>95</v>
      </c>
    </row>
    <row r="186" spans="1:17" outlineLevel="1" x14ac:dyDescent="0.25">
      <c r="C186" s="6"/>
      <c r="D186" t="s">
        <v>238</v>
      </c>
      <c r="F186" s="168" t="s">
        <v>27</v>
      </c>
      <c r="G186" s="168"/>
      <c r="H186" s="75"/>
      <c r="M186" s="12"/>
      <c r="N186" s="64" t="s">
        <v>95</v>
      </c>
      <c r="O186" s="65" t="s">
        <v>95</v>
      </c>
      <c r="P186" s="65" t="s">
        <v>95</v>
      </c>
      <c r="Q186" s="66" t="s">
        <v>95</v>
      </c>
    </row>
    <row r="187" spans="1:17" outlineLevel="1" x14ac:dyDescent="0.25">
      <c r="C187" s="171" t="s">
        <v>239</v>
      </c>
      <c r="D187" s="172"/>
      <c r="E187" s="172"/>
      <c r="F187" s="172"/>
      <c r="G187" s="91" t="str">
        <f>IF(COUNTIF(F188:G193,"Y")+COUNTIF(F188:G193,"na")+COUNTIF(F188:G193,"n/a")=COUNTA(F188:G193), "Complete", "Incomplete")</f>
        <v>Incomplete</v>
      </c>
      <c r="H187" s="63"/>
      <c r="I187" s="1"/>
      <c r="J187" s="1"/>
      <c r="K187" s="1"/>
      <c r="L187" s="1"/>
      <c r="M187" s="18"/>
      <c r="N187" s="6"/>
      <c r="O187" s="1"/>
      <c r="P187" s="1"/>
      <c r="Q187" s="18"/>
    </row>
    <row r="188" spans="1:17" outlineLevel="1" x14ac:dyDescent="0.25">
      <c r="C188" s="6"/>
      <c r="D188" t="s">
        <v>458</v>
      </c>
      <c r="F188" s="168" t="s">
        <v>27</v>
      </c>
      <c r="G188" s="168"/>
      <c r="H188" s="75"/>
      <c r="M188" s="12"/>
      <c r="N188" s="64" t="s">
        <v>95</v>
      </c>
      <c r="O188" s="65" t="s">
        <v>95</v>
      </c>
      <c r="P188" s="65" t="s">
        <v>95</v>
      </c>
      <c r="Q188" s="66" t="s">
        <v>95</v>
      </c>
    </row>
    <row r="189" spans="1:17" outlineLevel="1" x14ac:dyDescent="0.25">
      <c r="C189" s="6"/>
      <c r="D189" t="s">
        <v>240</v>
      </c>
      <c r="F189" s="168" t="s">
        <v>27</v>
      </c>
      <c r="G189" s="168"/>
      <c r="H189" s="74"/>
      <c r="M189" s="12"/>
      <c r="N189" s="64" t="s">
        <v>95</v>
      </c>
      <c r="O189" s="65" t="s">
        <v>95</v>
      </c>
      <c r="P189" s="65" t="s">
        <v>95</v>
      </c>
      <c r="Q189" s="66" t="s">
        <v>95</v>
      </c>
    </row>
    <row r="190" spans="1:17" outlineLevel="1" x14ac:dyDescent="0.25">
      <c r="C190" s="6"/>
      <c r="D190" t="s">
        <v>241</v>
      </c>
      <c r="F190" s="168" t="s">
        <v>27</v>
      </c>
      <c r="G190" s="168"/>
      <c r="H190" s="75"/>
      <c r="M190" s="12"/>
      <c r="N190" s="64" t="s">
        <v>95</v>
      </c>
      <c r="O190" s="65" t="s">
        <v>95</v>
      </c>
      <c r="P190" s="65" t="s">
        <v>95</v>
      </c>
      <c r="Q190" s="66" t="s">
        <v>95</v>
      </c>
    </row>
    <row r="191" spans="1:17" outlineLevel="1" x14ac:dyDescent="0.25">
      <c r="C191" s="6"/>
      <c r="D191" t="s">
        <v>242</v>
      </c>
      <c r="F191" s="168" t="s">
        <v>27</v>
      </c>
      <c r="G191" s="168"/>
      <c r="H191" s="75"/>
      <c r="M191" s="12"/>
      <c r="N191" s="64" t="s">
        <v>95</v>
      </c>
      <c r="O191" s="65" t="s">
        <v>95</v>
      </c>
      <c r="P191" s="65" t="s">
        <v>95</v>
      </c>
      <c r="Q191" s="66" t="s">
        <v>95</v>
      </c>
    </row>
    <row r="192" spans="1:17" outlineLevel="1" x14ac:dyDescent="0.25">
      <c r="C192" s="6"/>
      <c r="D192" t="s">
        <v>243</v>
      </c>
      <c r="F192" s="168" t="s">
        <v>27</v>
      </c>
      <c r="G192" s="168"/>
      <c r="H192" s="75"/>
      <c r="M192" s="12"/>
      <c r="N192" s="64" t="s">
        <v>95</v>
      </c>
      <c r="O192" s="65" t="s">
        <v>95</v>
      </c>
      <c r="P192" s="65" t="s">
        <v>95</v>
      </c>
      <c r="Q192" s="66" t="s">
        <v>95</v>
      </c>
    </row>
    <row r="193" spans="1:17" outlineLevel="1" x14ac:dyDescent="0.25">
      <c r="C193" s="6"/>
      <c r="D193" t="s">
        <v>244</v>
      </c>
      <c r="F193" s="168" t="s">
        <v>27</v>
      </c>
      <c r="G193" s="168"/>
      <c r="H193" s="75"/>
      <c r="M193" s="12"/>
      <c r="N193" s="64" t="s">
        <v>95</v>
      </c>
      <c r="O193" s="65" t="s">
        <v>95</v>
      </c>
      <c r="P193" s="65" t="s">
        <v>95</v>
      </c>
      <c r="Q193" s="66" t="s">
        <v>95</v>
      </c>
    </row>
    <row r="194" spans="1:17" outlineLevel="1" x14ac:dyDescent="0.25">
      <c r="C194" s="171" t="s">
        <v>245</v>
      </c>
      <c r="D194" s="172"/>
      <c r="E194" s="172"/>
      <c r="F194" s="172"/>
      <c r="G194" s="91" t="str">
        <f>IF(COUNTIF(F195:G197,"Y")+COUNTIF(F195:G197,"na")+COUNTIF(F195:G197,"n/a")=COUNTA(F195:G197), "Complete", "Incomplete")</f>
        <v>Incomplete</v>
      </c>
      <c r="H194" s="63"/>
      <c r="I194" s="1"/>
      <c r="J194" s="1"/>
      <c r="K194" s="1"/>
      <c r="L194" s="1"/>
      <c r="M194" s="18"/>
      <c r="N194" s="6"/>
      <c r="O194" s="1"/>
      <c r="P194" s="1"/>
      <c r="Q194" s="18"/>
    </row>
    <row r="195" spans="1:17" outlineLevel="1" x14ac:dyDescent="0.25">
      <c r="C195" s="6"/>
      <c r="D195" t="s">
        <v>246</v>
      </c>
      <c r="F195" s="168" t="s">
        <v>27</v>
      </c>
      <c r="G195" s="168"/>
      <c r="H195" s="75"/>
      <c r="M195" s="12"/>
      <c r="N195" s="64" t="s">
        <v>95</v>
      </c>
      <c r="O195" s="65" t="s">
        <v>95</v>
      </c>
      <c r="P195" s="65" t="s">
        <v>95</v>
      </c>
      <c r="Q195" s="66" t="s">
        <v>95</v>
      </c>
    </row>
    <row r="196" spans="1:17" outlineLevel="1" x14ac:dyDescent="0.25">
      <c r="C196" s="6"/>
      <c r="D196" t="s">
        <v>247</v>
      </c>
      <c r="F196" s="168" t="s">
        <v>27</v>
      </c>
      <c r="G196" s="168"/>
      <c r="H196" s="75"/>
      <c r="M196" s="12"/>
      <c r="N196" s="64" t="s">
        <v>95</v>
      </c>
      <c r="O196" s="65" t="s">
        <v>95</v>
      </c>
      <c r="P196" s="65" t="s">
        <v>95</v>
      </c>
      <c r="Q196" s="66" t="s">
        <v>95</v>
      </c>
    </row>
    <row r="197" spans="1:17" outlineLevel="1" x14ac:dyDescent="0.25">
      <c r="C197" s="6"/>
      <c r="D197" t="s">
        <v>248</v>
      </c>
      <c r="F197" s="168" t="s">
        <v>27</v>
      </c>
      <c r="G197" s="168"/>
      <c r="H197" s="75"/>
      <c r="M197" s="12"/>
      <c r="N197" s="64" t="s">
        <v>95</v>
      </c>
      <c r="O197" s="65" t="s">
        <v>95</v>
      </c>
      <c r="P197" s="65" t="s">
        <v>95</v>
      </c>
      <c r="Q197" s="66" t="s">
        <v>95</v>
      </c>
    </row>
    <row r="198" spans="1:17" outlineLevel="1" x14ac:dyDescent="0.25">
      <c r="C198" s="171" t="s">
        <v>249</v>
      </c>
      <c r="D198" s="172"/>
      <c r="E198" s="172"/>
      <c r="F198" s="172"/>
      <c r="G198" s="91" t="str">
        <f>IF(COUNTIF(F199:G201,"Y")+COUNTIF(F199:G201,"na")+COUNTIF(F199:G201,"n/a")=COUNTA(F199:G201), "Complete", "Incomplete")</f>
        <v>Incomplete</v>
      </c>
      <c r="H198" s="63"/>
      <c r="I198" s="1"/>
      <c r="J198" s="1"/>
      <c r="K198" s="1"/>
      <c r="L198" s="1"/>
      <c r="M198" s="18"/>
      <c r="N198" s="6"/>
      <c r="O198" s="1"/>
      <c r="P198" s="1"/>
      <c r="Q198" s="18"/>
    </row>
    <row r="199" spans="1:17" outlineLevel="1" x14ac:dyDescent="0.25">
      <c r="C199" s="6"/>
      <c r="D199" t="s">
        <v>250</v>
      </c>
      <c r="F199" s="168" t="s">
        <v>27</v>
      </c>
      <c r="G199" s="168"/>
      <c r="H199" s="75"/>
      <c r="M199" s="12"/>
      <c r="N199" s="64" t="s">
        <v>95</v>
      </c>
      <c r="O199" s="65" t="s">
        <v>95</v>
      </c>
      <c r="P199" s="65" t="s">
        <v>95</v>
      </c>
      <c r="Q199" s="66" t="s">
        <v>95</v>
      </c>
    </row>
    <row r="200" spans="1:17" outlineLevel="1" x14ac:dyDescent="0.25">
      <c r="C200" s="6"/>
      <c r="D200" t="s">
        <v>251</v>
      </c>
      <c r="F200" s="168" t="s">
        <v>27</v>
      </c>
      <c r="G200" s="168"/>
      <c r="H200" s="75"/>
      <c r="M200" s="12"/>
      <c r="N200" s="64" t="s">
        <v>95</v>
      </c>
      <c r="O200" s="65" t="s">
        <v>95</v>
      </c>
      <c r="P200" s="65" t="s">
        <v>95</v>
      </c>
      <c r="Q200" s="66" t="s">
        <v>95</v>
      </c>
    </row>
    <row r="201" spans="1:17" ht="15.75" outlineLevel="1" thickBot="1" x14ac:dyDescent="0.3">
      <c r="C201" s="6"/>
      <c r="D201" t="s">
        <v>252</v>
      </c>
      <c r="F201" s="168" t="s">
        <v>27</v>
      </c>
      <c r="G201" s="168"/>
      <c r="H201" s="76"/>
      <c r="M201" s="12"/>
      <c r="N201" s="64" t="s">
        <v>95</v>
      </c>
      <c r="O201" s="65" t="s">
        <v>95</v>
      </c>
      <c r="P201" s="65" t="s">
        <v>95</v>
      </c>
      <c r="Q201" s="66" t="s">
        <v>95</v>
      </c>
    </row>
    <row r="202" spans="1:17" ht="42.75" customHeight="1" thickBot="1" x14ac:dyDescent="0.35">
      <c r="A202" s="87"/>
      <c r="B202" s="87"/>
      <c r="C202" s="199" t="s">
        <v>228</v>
      </c>
      <c r="D202" s="200"/>
      <c r="E202" s="201"/>
      <c r="F202" s="202" t="s">
        <v>229</v>
      </c>
      <c r="G202" s="203"/>
      <c r="H202" s="157"/>
      <c r="I202" s="202"/>
      <c r="J202" s="204"/>
      <c r="K202" s="204"/>
      <c r="L202" s="204"/>
      <c r="M202" s="205"/>
      <c r="N202" s="206" t="s">
        <v>230</v>
      </c>
      <c r="O202" s="207"/>
      <c r="P202" s="200" t="s">
        <v>108</v>
      </c>
      <c r="Q202" s="208"/>
    </row>
    <row r="203" spans="1:17" ht="15.75" thickBot="1" x14ac:dyDescent="0.3">
      <c r="C203" s="47"/>
      <c r="D203" s="52"/>
      <c r="E203" s="52"/>
      <c r="F203" s="53"/>
      <c r="G203" s="102"/>
      <c r="H203" s="54"/>
      <c r="I203" s="54"/>
      <c r="J203" s="54"/>
      <c r="K203" s="54"/>
      <c r="L203" s="54"/>
      <c r="M203" s="55"/>
      <c r="N203" s="47"/>
      <c r="O203" s="48"/>
      <c r="P203" s="48"/>
      <c r="Q203" s="49"/>
    </row>
    <row r="204" spans="1:17" ht="28.5" customHeight="1" thickBot="1" x14ac:dyDescent="0.4">
      <c r="C204" s="174" t="str">
        <f>D17</f>
        <v>Final Seal and FCP</v>
      </c>
      <c r="D204" s="175"/>
      <c r="E204" s="175"/>
      <c r="F204" s="14" t="s">
        <v>90</v>
      </c>
      <c r="G204" s="95" t="str">
        <f>IF(E17="Y",IF(AND(G205="complete",G226="complete",#REF!="complete",G229="complete",G232="complete",G236="complete",F246="confirmed"), "Section Complete", "Section Incomplete"), "Section N/A")</f>
        <v>Section N/A</v>
      </c>
      <c r="H204" s="15" t="s">
        <v>91</v>
      </c>
      <c r="I204" s="169" t="s">
        <v>92</v>
      </c>
      <c r="J204" s="169"/>
      <c r="K204" s="169"/>
      <c r="L204" s="169"/>
      <c r="M204" s="170"/>
      <c r="N204" s="37"/>
      <c r="O204" s="33"/>
      <c r="P204" s="33"/>
      <c r="Q204" s="38"/>
    </row>
    <row r="205" spans="1:17" ht="14.25" customHeight="1" outlineLevel="1" x14ac:dyDescent="0.25">
      <c r="C205" s="171" t="s">
        <v>253</v>
      </c>
      <c r="D205" s="172"/>
      <c r="E205" s="172"/>
      <c r="F205" s="172"/>
      <c r="G205" s="91" t="str">
        <f>IF(COUNTIF(F206:G225,"Y")+COUNTIF(F206:G225,"na")+COUNTIF(F206:G225,"n/a")=COUNTA(F206:G225), "Complete", "Incomplete")</f>
        <v>Incomplete</v>
      </c>
      <c r="H205" s="61"/>
      <c r="I205" s="23"/>
      <c r="J205" s="23"/>
      <c r="K205" s="23"/>
      <c r="L205" s="23"/>
      <c r="M205" s="24"/>
      <c r="N205" s="6"/>
      <c r="O205" s="1"/>
      <c r="P205" s="1"/>
      <c r="Q205" s="18"/>
    </row>
    <row r="206" spans="1:17" outlineLevel="1" x14ac:dyDescent="0.25">
      <c r="C206" s="6"/>
      <c r="D206" t="s">
        <v>254</v>
      </c>
      <c r="F206" s="168" t="s">
        <v>27</v>
      </c>
      <c r="G206" s="168"/>
      <c r="H206" s="74"/>
      <c r="M206" s="12"/>
      <c r="N206" s="64" t="s">
        <v>95</v>
      </c>
      <c r="O206" s="65" t="s">
        <v>95</v>
      </c>
      <c r="P206" s="65" t="s">
        <v>95</v>
      </c>
      <c r="Q206" s="66" t="s">
        <v>95</v>
      </c>
    </row>
    <row r="207" spans="1:17" outlineLevel="1" x14ac:dyDescent="0.25">
      <c r="C207" s="6"/>
      <c r="D207" s="110" t="s">
        <v>255</v>
      </c>
      <c r="F207" s="168" t="s">
        <v>27</v>
      </c>
      <c r="G207" s="168"/>
      <c r="H207" s="74"/>
      <c r="M207" s="12"/>
      <c r="N207" s="64" t="s">
        <v>95</v>
      </c>
      <c r="O207" s="65" t="s">
        <v>95</v>
      </c>
      <c r="P207" s="65" t="s">
        <v>95</v>
      </c>
      <c r="Q207" s="66" t="s">
        <v>95</v>
      </c>
    </row>
    <row r="208" spans="1:17" outlineLevel="1" x14ac:dyDescent="0.25">
      <c r="C208" s="6"/>
      <c r="D208" s="186" t="s">
        <v>256</v>
      </c>
      <c r="E208" s="186"/>
      <c r="F208" s="168" t="s">
        <v>107</v>
      </c>
      <c r="G208" s="168"/>
      <c r="H208" s="75"/>
      <c r="M208" s="12"/>
      <c r="N208" s="64" t="s">
        <v>95</v>
      </c>
      <c r="O208" s="65" t="s">
        <v>95</v>
      </c>
      <c r="P208" s="65" t="s">
        <v>95</v>
      </c>
      <c r="Q208" s="66" t="s">
        <v>95</v>
      </c>
    </row>
    <row r="209" spans="3:17" outlineLevel="1" x14ac:dyDescent="0.25">
      <c r="C209" s="6"/>
      <c r="D209" t="s">
        <v>257</v>
      </c>
      <c r="F209" s="168" t="s">
        <v>27</v>
      </c>
      <c r="G209" s="168"/>
      <c r="H209" s="74"/>
      <c r="M209" s="12"/>
      <c r="N209" s="64" t="s">
        <v>95</v>
      </c>
      <c r="O209" s="65" t="s">
        <v>95</v>
      </c>
      <c r="P209" s="65" t="s">
        <v>95</v>
      </c>
      <c r="Q209" s="66" t="s">
        <v>95</v>
      </c>
    </row>
    <row r="210" spans="3:17" outlineLevel="1" x14ac:dyDescent="0.25">
      <c r="C210" s="6"/>
      <c r="D210" s="71" t="s">
        <v>258</v>
      </c>
      <c r="E210" s="71"/>
      <c r="F210" s="168" t="s">
        <v>27</v>
      </c>
      <c r="G210" s="168"/>
      <c r="H210" s="75"/>
      <c r="M210" s="12"/>
      <c r="N210" s="64" t="s">
        <v>95</v>
      </c>
      <c r="O210" s="65" t="s">
        <v>95</v>
      </c>
      <c r="P210" s="65" t="s">
        <v>95</v>
      </c>
      <c r="Q210" s="66" t="s">
        <v>95</v>
      </c>
    </row>
    <row r="211" spans="3:17" outlineLevel="1" x14ac:dyDescent="0.25">
      <c r="C211" s="6"/>
      <c r="D211" s="71" t="s">
        <v>259</v>
      </c>
      <c r="E211" s="71"/>
      <c r="F211" s="168" t="s">
        <v>27</v>
      </c>
      <c r="G211" s="168"/>
      <c r="H211" s="75"/>
      <c r="M211" s="12"/>
      <c r="N211" s="64" t="s">
        <v>95</v>
      </c>
      <c r="O211" s="65" t="s">
        <v>95</v>
      </c>
      <c r="P211" s="65" t="s">
        <v>95</v>
      </c>
      <c r="Q211" s="66" t="s">
        <v>95</v>
      </c>
    </row>
    <row r="212" spans="3:17" outlineLevel="1" x14ac:dyDescent="0.25">
      <c r="C212" s="6"/>
      <c r="D212" s="71" t="s">
        <v>260</v>
      </c>
      <c r="E212" s="71"/>
      <c r="F212" s="168" t="s">
        <v>27</v>
      </c>
      <c r="G212" s="168"/>
      <c r="H212" s="75"/>
      <c r="M212" s="12"/>
      <c r="N212" s="64" t="s">
        <v>95</v>
      </c>
      <c r="O212" s="65" t="s">
        <v>95</v>
      </c>
      <c r="P212" s="65" t="s">
        <v>95</v>
      </c>
      <c r="Q212" s="66" t="s">
        <v>95</v>
      </c>
    </row>
    <row r="213" spans="3:17" outlineLevel="1" x14ac:dyDescent="0.25">
      <c r="C213" s="6"/>
      <c r="D213" s="71" t="s">
        <v>261</v>
      </c>
      <c r="E213" s="71"/>
      <c r="F213" s="168" t="s">
        <v>27</v>
      </c>
      <c r="G213" s="168"/>
      <c r="H213" s="75"/>
      <c r="M213" s="12"/>
      <c r="N213" s="64" t="s">
        <v>95</v>
      </c>
      <c r="O213" s="65" t="s">
        <v>95</v>
      </c>
      <c r="P213" s="65" t="s">
        <v>95</v>
      </c>
      <c r="Q213" s="66" t="s">
        <v>95</v>
      </c>
    </row>
    <row r="214" spans="3:17" outlineLevel="1" x14ac:dyDescent="0.25">
      <c r="C214" s="6"/>
      <c r="D214" s="71" t="s">
        <v>262</v>
      </c>
      <c r="E214" s="71"/>
      <c r="F214" s="168" t="s">
        <v>27</v>
      </c>
      <c r="G214" s="168"/>
      <c r="H214" s="75"/>
      <c r="M214" s="12"/>
      <c r="N214" s="11" t="s">
        <v>263</v>
      </c>
      <c r="O214" s="65" t="s">
        <v>95</v>
      </c>
      <c r="P214" s="65" t="s">
        <v>95</v>
      </c>
      <c r="Q214" s="66" t="s">
        <v>95</v>
      </c>
    </row>
    <row r="215" spans="3:17" outlineLevel="1" x14ac:dyDescent="0.25">
      <c r="C215" s="6"/>
      <c r="D215" s="71" t="s">
        <v>264</v>
      </c>
      <c r="E215" s="71"/>
      <c r="F215" s="168" t="s">
        <v>27</v>
      </c>
      <c r="G215" s="168"/>
      <c r="H215" s="75"/>
      <c r="M215" s="12"/>
      <c r="N215" s="64" t="s">
        <v>95</v>
      </c>
      <c r="O215" s="65" t="s">
        <v>95</v>
      </c>
      <c r="P215" s="65" t="s">
        <v>95</v>
      </c>
      <c r="Q215" s="66" t="s">
        <v>95</v>
      </c>
    </row>
    <row r="216" spans="3:17" outlineLevel="1" x14ac:dyDescent="0.25">
      <c r="C216" s="6"/>
      <c r="D216" s="71" t="s">
        <v>265</v>
      </c>
      <c r="E216" s="71"/>
      <c r="F216" s="168" t="s">
        <v>27</v>
      </c>
      <c r="G216" s="168"/>
      <c r="H216" s="75"/>
      <c r="M216" s="12"/>
      <c r="N216" s="64" t="s">
        <v>95</v>
      </c>
      <c r="O216" s="65" t="s">
        <v>95</v>
      </c>
      <c r="P216" s="65" t="s">
        <v>95</v>
      </c>
      <c r="Q216" s="66" t="s">
        <v>95</v>
      </c>
    </row>
    <row r="217" spans="3:17" outlineLevel="1" x14ac:dyDescent="0.25">
      <c r="C217" s="6"/>
      <c r="D217" s="71" t="s">
        <v>266</v>
      </c>
      <c r="E217" s="71"/>
      <c r="F217" s="168" t="s">
        <v>27</v>
      </c>
      <c r="G217" s="168"/>
      <c r="H217" s="75"/>
      <c r="M217" s="12"/>
      <c r="N217" s="64" t="s">
        <v>95</v>
      </c>
      <c r="O217" s="65" t="s">
        <v>95</v>
      </c>
      <c r="P217" s="65" t="s">
        <v>95</v>
      </c>
      <c r="Q217" s="66" t="s">
        <v>95</v>
      </c>
    </row>
    <row r="218" spans="3:17" outlineLevel="1" x14ac:dyDescent="0.25">
      <c r="C218" s="6"/>
      <c r="D218" s="71" t="s">
        <v>267</v>
      </c>
      <c r="E218" s="71"/>
      <c r="F218" s="168" t="s">
        <v>27</v>
      </c>
      <c r="G218" s="168"/>
      <c r="H218" s="75"/>
      <c r="M218" s="12"/>
      <c r="N218" s="64" t="s">
        <v>95</v>
      </c>
      <c r="O218" s="65" t="s">
        <v>95</v>
      </c>
      <c r="P218" s="65" t="s">
        <v>95</v>
      </c>
      <c r="Q218" s="66" t="s">
        <v>95</v>
      </c>
    </row>
    <row r="219" spans="3:17" outlineLevel="1" x14ac:dyDescent="0.25">
      <c r="C219" s="6"/>
      <c r="D219" t="s">
        <v>268</v>
      </c>
      <c r="F219" s="168" t="s">
        <v>27</v>
      </c>
      <c r="G219" s="168"/>
      <c r="H219" s="75"/>
      <c r="M219" s="12"/>
      <c r="N219" s="64" t="s">
        <v>95</v>
      </c>
      <c r="O219" s="65" t="s">
        <v>95</v>
      </c>
      <c r="P219" s="65" t="s">
        <v>95</v>
      </c>
      <c r="Q219" s="66" t="s">
        <v>95</v>
      </c>
    </row>
    <row r="220" spans="3:17" outlineLevel="1" x14ac:dyDescent="0.25">
      <c r="C220" s="6"/>
      <c r="D220" t="s">
        <v>269</v>
      </c>
      <c r="F220" s="168" t="s">
        <v>27</v>
      </c>
      <c r="G220" s="168"/>
      <c r="H220" s="75"/>
      <c r="M220" s="12"/>
      <c r="N220" s="64" t="s">
        <v>95</v>
      </c>
      <c r="O220" s="65" t="s">
        <v>95</v>
      </c>
      <c r="P220" s="65" t="s">
        <v>95</v>
      </c>
      <c r="Q220" s="66" t="s">
        <v>95</v>
      </c>
    </row>
    <row r="221" spans="3:17" outlineLevel="1" x14ac:dyDescent="0.25">
      <c r="C221" s="6"/>
      <c r="D221" t="s">
        <v>270</v>
      </c>
      <c r="F221" s="168" t="s">
        <v>27</v>
      </c>
      <c r="G221" s="168"/>
      <c r="H221" s="75"/>
      <c r="M221" s="12"/>
      <c r="N221" s="64" t="s">
        <v>95</v>
      </c>
      <c r="O221" s="65" t="s">
        <v>95</v>
      </c>
      <c r="P221" s="65" t="s">
        <v>95</v>
      </c>
      <c r="Q221" s="66" t="s">
        <v>95</v>
      </c>
    </row>
    <row r="222" spans="3:17" outlineLevel="1" x14ac:dyDescent="0.25">
      <c r="C222" s="6"/>
      <c r="D222" t="s">
        <v>271</v>
      </c>
      <c r="F222" s="168" t="s">
        <v>27</v>
      </c>
      <c r="G222" s="168"/>
      <c r="H222" s="75"/>
      <c r="M222" s="12"/>
      <c r="N222" s="64" t="s">
        <v>95</v>
      </c>
      <c r="O222" s="65" t="s">
        <v>95</v>
      </c>
      <c r="P222" s="65" t="s">
        <v>95</v>
      </c>
      <c r="Q222" s="66" t="s">
        <v>95</v>
      </c>
    </row>
    <row r="223" spans="3:17" outlineLevel="1" x14ac:dyDescent="0.25">
      <c r="C223" s="6"/>
      <c r="D223" t="s">
        <v>272</v>
      </c>
      <c r="F223" s="168" t="s">
        <v>27</v>
      </c>
      <c r="G223" s="168"/>
      <c r="H223" s="75"/>
      <c r="M223" s="12"/>
      <c r="N223" s="64" t="s">
        <v>95</v>
      </c>
      <c r="O223" s="65" t="s">
        <v>95</v>
      </c>
      <c r="P223" s="65" t="s">
        <v>95</v>
      </c>
      <c r="Q223" s="66" t="s">
        <v>95</v>
      </c>
    </row>
    <row r="224" spans="3:17" outlineLevel="1" x14ac:dyDescent="0.25">
      <c r="C224" s="6"/>
      <c r="D224" t="s">
        <v>273</v>
      </c>
      <c r="F224" s="168" t="s">
        <v>27</v>
      </c>
      <c r="G224" s="168"/>
      <c r="H224" s="75"/>
      <c r="M224" s="12"/>
      <c r="N224" s="64" t="s">
        <v>95</v>
      </c>
      <c r="O224" s="65" t="s">
        <v>95</v>
      </c>
      <c r="P224" s="65" t="s">
        <v>95</v>
      </c>
      <c r="Q224" s="66" t="s">
        <v>95</v>
      </c>
    </row>
    <row r="225" spans="3:20" outlineLevel="1" x14ac:dyDescent="0.25">
      <c r="C225" s="6"/>
      <c r="D225" t="s">
        <v>274</v>
      </c>
      <c r="F225" s="168" t="s">
        <v>27</v>
      </c>
      <c r="G225" s="168"/>
      <c r="H225" s="75"/>
      <c r="M225" s="12"/>
      <c r="N225" s="64" t="s">
        <v>95</v>
      </c>
      <c r="O225" s="65" t="s">
        <v>95</v>
      </c>
      <c r="P225" s="65" t="s">
        <v>95</v>
      </c>
      <c r="Q225" s="66" t="s">
        <v>95</v>
      </c>
    </row>
    <row r="226" spans="3:20" outlineLevel="1" x14ac:dyDescent="0.25">
      <c r="C226" s="171" t="s">
        <v>275</v>
      </c>
      <c r="D226" s="172"/>
      <c r="E226" s="172"/>
      <c r="F226" s="172"/>
      <c r="G226" s="91" t="str">
        <f>IF(COUNTIF(F227:G228,"Y")+COUNTIF(F227:G228,"na")+COUNTIF(F227:G228,"n/a")=COUNTA(F227:G228), "Complete", "Incomplete")</f>
        <v>Incomplete</v>
      </c>
      <c r="H226" s="63"/>
      <c r="I226" s="1"/>
      <c r="J226" s="1"/>
      <c r="K226" s="1"/>
      <c r="L226" s="1"/>
      <c r="M226" s="18"/>
      <c r="N226" s="6"/>
      <c r="O226" s="1"/>
      <c r="P226" s="1"/>
      <c r="Q226" s="18"/>
    </row>
    <row r="227" spans="3:20" outlineLevel="1" x14ac:dyDescent="0.25">
      <c r="C227" s="6"/>
      <c r="D227" t="s">
        <v>276</v>
      </c>
      <c r="F227" s="168" t="s">
        <v>27</v>
      </c>
      <c r="G227" s="168"/>
      <c r="H227" s="75"/>
      <c r="M227" s="12"/>
      <c r="N227" s="64" t="s">
        <v>95</v>
      </c>
      <c r="O227" s="65" t="s">
        <v>95</v>
      </c>
      <c r="P227" s="65" t="s">
        <v>95</v>
      </c>
      <c r="Q227" s="66" t="s">
        <v>95</v>
      </c>
    </row>
    <row r="228" spans="3:20" outlineLevel="1" x14ac:dyDescent="0.25">
      <c r="C228" s="6"/>
      <c r="D228" t="s">
        <v>277</v>
      </c>
      <c r="F228" s="168" t="s">
        <v>27</v>
      </c>
      <c r="G228" s="168"/>
      <c r="H228" s="75"/>
      <c r="M228" s="12"/>
      <c r="N228" s="64" t="s">
        <v>95</v>
      </c>
      <c r="O228" s="65" t="s">
        <v>95</v>
      </c>
      <c r="P228" s="65" t="s">
        <v>95</v>
      </c>
      <c r="Q228" s="66" t="s">
        <v>95</v>
      </c>
    </row>
    <row r="229" spans="3:20" outlineLevel="1" x14ac:dyDescent="0.25">
      <c r="C229" s="171" t="s">
        <v>278</v>
      </c>
      <c r="D229" s="172"/>
      <c r="E229" s="172"/>
      <c r="F229" s="172"/>
      <c r="G229" s="91" t="str">
        <f>IF(COUNTIF(F230:G231,"Y")+COUNTIF(F230:G231,"na")+COUNTIF(F230:G231,"n/a")=COUNTA(F230:G231), "Complete", "Incomplete")</f>
        <v>Incomplete</v>
      </c>
      <c r="H229" s="63"/>
      <c r="I229" s="1"/>
      <c r="J229" s="1"/>
      <c r="K229" s="1"/>
      <c r="L229" s="1"/>
      <c r="M229" s="18"/>
      <c r="N229" s="6"/>
      <c r="O229" s="1"/>
      <c r="P229" s="1"/>
      <c r="Q229" s="18"/>
    </row>
    <row r="230" spans="3:20" outlineLevel="1" x14ac:dyDescent="0.25">
      <c r="C230" s="10"/>
      <c r="D230" t="s">
        <v>279</v>
      </c>
      <c r="F230" s="168" t="s">
        <v>94</v>
      </c>
      <c r="G230" s="168"/>
      <c r="H230" s="75"/>
      <c r="M230" s="12"/>
      <c r="N230" s="64" t="s">
        <v>108</v>
      </c>
      <c r="O230" s="65" t="s">
        <v>95</v>
      </c>
      <c r="P230" s="65" t="s">
        <v>95</v>
      </c>
      <c r="Q230" s="66" t="s">
        <v>95</v>
      </c>
    </row>
    <row r="231" spans="3:20" outlineLevel="1" x14ac:dyDescent="0.25">
      <c r="C231" s="10"/>
      <c r="D231" t="s">
        <v>280</v>
      </c>
      <c r="F231" s="168" t="s">
        <v>94</v>
      </c>
      <c r="G231" s="168"/>
      <c r="H231" s="75"/>
      <c r="M231" s="12"/>
      <c r="N231" s="64" t="s">
        <v>95</v>
      </c>
      <c r="O231" s="65" t="s">
        <v>95</v>
      </c>
      <c r="P231" s="65" t="s">
        <v>95</v>
      </c>
      <c r="Q231" s="66" t="s">
        <v>95</v>
      </c>
    </row>
    <row r="232" spans="3:20" outlineLevel="1" x14ac:dyDescent="0.25">
      <c r="C232" s="171" t="s">
        <v>281</v>
      </c>
      <c r="D232" s="172"/>
      <c r="E232" s="172"/>
      <c r="F232" s="172"/>
      <c r="G232" s="91" t="str">
        <f>IF(COUNTIF(F233:G235,"Y")+COUNTIF(F233:G235,"na")+COUNTIF(F233:G235,"n/a")=COUNTA(F233:G235), "Complete", "Incomplete")</f>
        <v>Incomplete</v>
      </c>
      <c r="H232" s="63"/>
      <c r="I232" s="1"/>
      <c r="J232" s="1"/>
      <c r="K232" s="1"/>
      <c r="L232" s="1"/>
      <c r="M232" s="18"/>
      <c r="N232" s="6"/>
      <c r="O232" s="1"/>
      <c r="P232" s="1"/>
      <c r="Q232" s="18"/>
    </row>
    <row r="233" spans="3:20" outlineLevel="1" x14ac:dyDescent="0.25">
      <c r="C233" s="10"/>
      <c r="D233" t="s">
        <v>282</v>
      </c>
      <c r="F233" s="168" t="s">
        <v>27</v>
      </c>
      <c r="G233" s="168"/>
      <c r="H233" s="75"/>
      <c r="M233" s="12"/>
      <c r="N233" s="64" t="s">
        <v>95</v>
      </c>
      <c r="O233" s="65" t="s">
        <v>95</v>
      </c>
      <c r="P233" s="65" t="s">
        <v>95</v>
      </c>
      <c r="Q233" s="66" t="s">
        <v>95</v>
      </c>
    </row>
    <row r="234" spans="3:20" outlineLevel="1" x14ac:dyDescent="0.25">
      <c r="C234" s="10"/>
      <c r="D234" t="s">
        <v>283</v>
      </c>
      <c r="F234" s="168" t="s">
        <v>27</v>
      </c>
      <c r="G234" s="168"/>
      <c r="H234" s="75"/>
      <c r="M234" s="12"/>
      <c r="N234" s="64" t="s">
        <v>95</v>
      </c>
      <c r="O234" s="65" t="s">
        <v>95</v>
      </c>
      <c r="P234" s="65" t="s">
        <v>95</v>
      </c>
      <c r="Q234" s="66" t="s">
        <v>95</v>
      </c>
    </row>
    <row r="235" spans="3:20" outlineLevel="1" x14ac:dyDescent="0.25">
      <c r="C235" s="6"/>
      <c r="F235" s="168" t="s">
        <v>107</v>
      </c>
      <c r="G235" s="168"/>
      <c r="H235" s="75"/>
      <c r="M235" s="12"/>
      <c r="N235" s="64" t="s">
        <v>95</v>
      </c>
      <c r="O235" s="65" t="s">
        <v>95</v>
      </c>
      <c r="P235" s="65" t="s">
        <v>95</v>
      </c>
      <c r="Q235" s="66" t="s">
        <v>95</v>
      </c>
    </row>
    <row r="236" spans="3:20" outlineLevel="1" x14ac:dyDescent="0.25">
      <c r="C236" s="171" t="s">
        <v>284</v>
      </c>
      <c r="D236" s="172"/>
      <c r="E236" s="172"/>
      <c r="F236" s="172"/>
      <c r="G236" s="91" t="str">
        <f>IF(COUNTIF(F237:G245,"Y")+COUNTIF(F237:G245,"na")+COUNTIF(F237:G245,"n/a")=COUNTA(F237:G245), "Complete", "Incomplete")</f>
        <v>Incomplete</v>
      </c>
      <c r="H236" s="63"/>
      <c r="I236" s="1"/>
      <c r="J236" s="1"/>
      <c r="K236" s="1"/>
      <c r="L236" s="1"/>
      <c r="M236" s="18"/>
      <c r="N236" s="6"/>
      <c r="O236" s="1"/>
      <c r="P236" s="1"/>
      <c r="Q236" s="18"/>
      <c r="T236" t="s">
        <v>285</v>
      </c>
    </row>
    <row r="237" spans="3:20" outlineLevel="1" x14ac:dyDescent="0.25">
      <c r="C237" s="10"/>
      <c r="D237" t="s">
        <v>286</v>
      </c>
      <c r="F237" s="168" t="s">
        <v>27</v>
      </c>
      <c r="G237" s="168"/>
      <c r="H237" s="75"/>
      <c r="M237" s="12"/>
      <c r="N237" s="64" t="s">
        <v>95</v>
      </c>
      <c r="O237" s="65" t="s">
        <v>95</v>
      </c>
      <c r="P237" s="65" t="s">
        <v>95</v>
      </c>
      <c r="Q237" s="66" t="s">
        <v>95</v>
      </c>
      <c r="T237" t="s">
        <v>287</v>
      </c>
    </row>
    <row r="238" spans="3:20" outlineLevel="1" x14ac:dyDescent="0.25">
      <c r="C238" s="10"/>
      <c r="D238" t="s">
        <v>288</v>
      </c>
      <c r="F238" s="168" t="s">
        <v>27</v>
      </c>
      <c r="G238" s="168"/>
      <c r="H238" s="75"/>
      <c r="M238" s="12"/>
      <c r="N238" s="64" t="s">
        <v>95</v>
      </c>
      <c r="O238" s="65" t="s">
        <v>95</v>
      </c>
      <c r="P238" s="65" t="s">
        <v>95</v>
      </c>
      <c r="Q238" s="66" t="s">
        <v>95</v>
      </c>
      <c r="T238" t="s">
        <v>289</v>
      </c>
    </row>
    <row r="239" spans="3:20" outlineLevel="1" x14ac:dyDescent="0.25">
      <c r="C239" s="10"/>
      <c r="D239" t="s">
        <v>290</v>
      </c>
      <c r="F239" s="168" t="s">
        <v>27</v>
      </c>
      <c r="G239" s="168"/>
      <c r="H239" s="75"/>
      <c r="M239" s="12"/>
      <c r="N239" s="64" t="s">
        <v>95</v>
      </c>
      <c r="O239" s="65" t="s">
        <v>95</v>
      </c>
      <c r="P239" s="65" t="s">
        <v>95</v>
      </c>
      <c r="Q239" s="66" t="s">
        <v>95</v>
      </c>
      <c r="T239" t="s">
        <v>291</v>
      </c>
    </row>
    <row r="240" spans="3:20" outlineLevel="1" x14ac:dyDescent="0.25">
      <c r="C240" s="6"/>
      <c r="D240" t="s">
        <v>292</v>
      </c>
      <c r="F240" s="168" t="s">
        <v>27</v>
      </c>
      <c r="G240" s="168"/>
      <c r="H240" s="75"/>
      <c r="M240" s="12"/>
      <c r="N240" s="64" t="s">
        <v>95</v>
      </c>
      <c r="O240" s="65" t="s">
        <v>95</v>
      </c>
      <c r="P240" s="65" t="s">
        <v>95</v>
      </c>
      <c r="Q240" s="66" t="s">
        <v>95</v>
      </c>
      <c r="T240" t="s">
        <v>293</v>
      </c>
    </row>
    <row r="241" spans="1:20" outlineLevel="1" x14ac:dyDescent="0.25">
      <c r="C241" s="6"/>
      <c r="D241" t="s">
        <v>294</v>
      </c>
      <c r="F241" s="168" t="s">
        <v>27</v>
      </c>
      <c r="G241" s="168"/>
      <c r="H241" s="75"/>
      <c r="M241" s="12"/>
      <c r="N241" s="64" t="s">
        <v>95</v>
      </c>
      <c r="O241" s="65" t="s">
        <v>95</v>
      </c>
      <c r="P241" s="65" t="s">
        <v>95</v>
      </c>
      <c r="Q241" s="66" t="s">
        <v>95</v>
      </c>
      <c r="T241" t="s">
        <v>295</v>
      </c>
    </row>
    <row r="242" spans="1:20" outlineLevel="1" x14ac:dyDescent="0.25">
      <c r="C242" s="6" t="s">
        <v>296</v>
      </c>
      <c r="D242" s="110" t="s">
        <v>297</v>
      </c>
      <c r="E242" s="110"/>
      <c r="F242" s="168" t="s">
        <v>27</v>
      </c>
      <c r="G242" s="168"/>
      <c r="H242" s="75"/>
      <c r="M242" s="12"/>
      <c r="N242" s="64" t="s">
        <v>95</v>
      </c>
      <c r="O242" s="65" t="s">
        <v>95</v>
      </c>
      <c r="P242" s="65" t="s">
        <v>95</v>
      </c>
      <c r="Q242" s="66" t="s">
        <v>95</v>
      </c>
      <c r="T242" t="s">
        <v>298</v>
      </c>
    </row>
    <row r="243" spans="1:20" outlineLevel="1" x14ac:dyDescent="0.25">
      <c r="C243" s="6"/>
      <c r="D243" t="s">
        <v>299</v>
      </c>
      <c r="F243" s="168" t="s">
        <v>27</v>
      </c>
      <c r="G243" s="168"/>
      <c r="H243" s="75"/>
      <c r="M243" s="12"/>
      <c r="N243" s="64" t="s">
        <v>95</v>
      </c>
      <c r="O243" s="65" t="s">
        <v>95</v>
      </c>
      <c r="P243" s="65" t="s">
        <v>95</v>
      </c>
      <c r="Q243" s="66" t="s">
        <v>95</v>
      </c>
    </row>
    <row r="244" spans="1:20" outlineLevel="1" x14ac:dyDescent="0.25">
      <c r="C244" s="6"/>
      <c r="D244" t="s">
        <v>300</v>
      </c>
      <c r="F244" s="168" t="s">
        <v>27</v>
      </c>
      <c r="G244" s="168"/>
      <c r="H244" s="75"/>
      <c r="M244" s="12"/>
      <c r="N244" s="64" t="s">
        <v>95</v>
      </c>
      <c r="O244" s="65" t="s">
        <v>95</v>
      </c>
      <c r="P244" s="65" t="s">
        <v>95</v>
      </c>
      <c r="Q244" s="66" t="s">
        <v>95</v>
      </c>
    </row>
    <row r="245" spans="1:20" ht="15.75" outlineLevel="1" thickBot="1" x14ac:dyDescent="0.3">
      <c r="C245" s="6"/>
      <c r="D245" t="s">
        <v>301</v>
      </c>
      <c r="F245" s="168" t="s">
        <v>27</v>
      </c>
      <c r="G245" s="168"/>
      <c r="H245" s="76"/>
      <c r="I245" s="184"/>
      <c r="J245" s="184"/>
      <c r="K245" s="184"/>
      <c r="L245" s="184"/>
      <c r="M245" s="185"/>
      <c r="N245" s="64" t="s">
        <v>95</v>
      </c>
      <c r="O245" s="65" t="s">
        <v>95</v>
      </c>
      <c r="P245" s="65" t="s">
        <v>95</v>
      </c>
      <c r="Q245" s="66" t="s">
        <v>95</v>
      </c>
    </row>
    <row r="246" spans="1:20" ht="42.75" customHeight="1" thickBot="1" x14ac:dyDescent="0.35">
      <c r="A246" s="87"/>
      <c r="B246" s="87"/>
      <c r="C246" s="199" t="s">
        <v>457</v>
      </c>
      <c r="D246" s="200"/>
      <c r="E246" s="201"/>
      <c r="F246" s="202" t="s">
        <v>229</v>
      </c>
      <c r="G246" s="203"/>
      <c r="H246" s="157"/>
      <c r="I246" s="202"/>
      <c r="J246" s="204"/>
      <c r="K246" s="204"/>
      <c r="L246" s="204"/>
      <c r="M246" s="205"/>
      <c r="N246" s="206" t="s">
        <v>230</v>
      </c>
      <c r="O246" s="207"/>
      <c r="P246" s="200" t="s">
        <v>108</v>
      </c>
      <c r="Q246" s="208"/>
    </row>
    <row r="247" spans="1:20" ht="15.75" thickBot="1" x14ac:dyDescent="0.3">
      <c r="C247" s="39"/>
      <c r="D247" s="35"/>
      <c r="E247" s="35"/>
      <c r="F247" s="40"/>
      <c r="G247" s="96"/>
      <c r="H247" s="35"/>
      <c r="I247" s="41"/>
      <c r="J247" s="41"/>
      <c r="K247" s="41"/>
      <c r="L247" s="41"/>
      <c r="M247" s="42"/>
      <c r="N247" s="34"/>
      <c r="O247" s="35"/>
      <c r="P247" s="35"/>
      <c r="Q247" s="36"/>
    </row>
    <row r="248" spans="1:20" ht="28.5" customHeight="1" thickBot="1" x14ac:dyDescent="0.4">
      <c r="C248" s="174" t="str">
        <f>D18</f>
        <v>Prep for shipment and deployment</v>
      </c>
      <c r="D248" s="175"/>
      <c r="E248" s="175"/>
      <c r="F248" s="14" t="s">
        <v>90</v>
      </c>
      <c r="G248" s="95" t="str">
        <f>IF(E18="y",IF(AND(G249="complete",G258="complete",G264="complete",G270="complete",F276="confirmed"), "Section Complete", "Section Incomplete"), "Section N/A")</f>
        <v>Section N/A</v>
      </c>
      <c r="H248" s="15" t="s">
        <v>91</v>
      </c>
      <c r="I248" s="169" t="s">
        <v>92</v>
      </c>
      <c r="J248" s="169"/>
      <c r="K248" s="169"/>
      <c r="L248" s="169"/>
      <c r="M248" s="170"/>
      <c r="N248" s="37"/>
      <c r="O248" s="33"/>
      <c r="P248" s="33"/>
      <c r="Q248" s="38"/>
    </row>
    <row r="249" spans="1:20" ht="14.25" hidden="1" customHeight="1" outlineLevel="1" x14ac:dyDescent="0.3">
      <c r="A249" t="s">
        <v>302</v>
      </c>
      <c r="C249" s="171" t="s">
        <v>303</v>
      </c>
      <c r="D249" s="172"/>
      <c r="E249" s="172"/>
      <c r="F249" s="172"/>
      <c r="G249" s="91" t="str">
        <f>IF(COUNTIF(F250:G257,"Y")+COUNTIF(F250:G257,"na")+COUNTIF(F250:G257,"n/a")=COUNTA(F250:G257), "Complete", "Incomplete")</f>
        <v>Incomplete</v>
      </c>
      <c r="H249" s="61"/>
      <c r="I249" s="23"/>
      <c r="J249" s="23"/>
      <c r="K249" s="23"/>
      <c r="L249" s="23"/>
      <c r="M249" s="24"/>
      <c r="N249" s="6"/>
      <c r="O249" s="1"/>
      <c r="P249" s="1"/>
      <c r="Q249" s="18"/>
    </row>
    <row r="250" spans="1:20" ht="15" hidden="1" customHeight="1" outlineLevel="1" x14ac:dyDescent="0.3">
      <c r="A250" t="s">
        <v>304</v>
      </c>
      <c r="C250" s="6"/>
      <c r="D250" t="s">
        <v>305</v>
      </c>
      <c r="F250" s="168" t="s">
        <v>27</v>
      </c>
      <c r="G250" s="168"/>
      <c r="H250" s="74"/>
      <c r="M250" s="12"/>
      <c r="N250" s="64" t="s">
        <v>95</v>
      </c>
      <c r="O250" s="65" t="s">
        <v>95</v>
      </c>
      <c r="P250" s="65" t="s">
        <v>95</v>
      </c>
      <c r="Q250" s="66" t="s">
        <v>95</v>
      </c>
    </row>
    <row r="251" spans="1:20" ht="15" hidden="1" customHeight="1" outlineLevel="1" x14ac:dyDescent="0.3">
      <c r="A251" t="s">
        <v>306</v>
      </c>
      <c r="C251" s="6"/>
      <c r="D251" t="s">
        <v>307</v>
      </c>
      <c r="F251" s="168" t="s">
        <v>27</v>
      </c>
      <c r="G251" s="168"/>
      <c r="H251" s="74"/>
      <c r="M251" s="12"/>
      <c r="N251" s="64" t="s">
        <v>95</v>
      </c>
      <c r="O251" s="65" t="s">
        <v>95</v>
      </c>
      <c r="P251" s="65" t="s">
        <v>95</v>
      </c>
      <c r="Q251" s="66" t="s">
        <v>95</v>
      </c>
    </row>
    <row r="252" spans="1:20" ht="15" hidden="1" customHeight="1" outlineLevel="1" x14ac:dyDescent="0.3">
      <c r="C252" s="6"/>
      <c r="D252" t="s">
        <v>308</v>
      </c>
      <c r="F252" s="168" t="s">
        <v>27</v>
      </c>
      <c r="G252" s="168"/>
      <c r="H252" s="74"/>
      <c r="M252" s="12"/>
      <c r="N252" s="64" t="s">
        <v>95</v>
      </c>
      <c r="O252" s="65" t="s">
        <v>95</v>
      </c>
      <c r="P252" s="65" t="s">
        <v>95</v>
      </c>
      <c r="Q252" s="66" t="s">
        <v>95</v>
      </c>
    </row>
    <row r="253" spans="1:20" ht="15" hidden="1" customHeight="1" outlineLevel="1" x14ac:dyDescent="0.3">
      <c r="C253" s="6"/>
      <c r="D253" t="s">
        <v>309</v>
      </c>
      <c r="F253" s="168" t="s">
        <v>27</v>
      </c>
      <c r="G253" s="168"/>
      <c r="H253" s="75"/>
      <c r="M253" s="12"/>
      <c r="N253" s="64" t="s">
        <v>95</v>
      </c>
      <c r="O253" s="65" t="s">
        <v>95</v>
      </c>
      <c r="P253" s="65" t="s">
        <v>95</v>
      </c>
      <c r="Q253" s="66" t="s">
        <v>95</v>
      </c>
    </row>
    <row r="254" spans="1:20" ht="15" hidden="1" customHeight="1" outlineLevel="1" x14ac:dyDescent="0.3">
      <c r="C254" s="6"/>
      <c r="D254" t="s">
        <v>310</v>
      </c>
      <c r="F254" s="168" t="s">
        <v>27</v>
      </c>
      <c r="G254" s="168"/>
      <c r="H254" s="75"/>
      <c r="M254" s="12"/>
      <c r="N254" s="64" t="s">
        <v>95</v>
      </c>
      <c r="O254" s="65" t="s">
        <v>95</v>
      </c>
      <c r="P254" s="65" t="s">
        <v>95</v>
      </c>
      <c r="Q254" s="66" t="s">
        <v>95</v>
      </c>
    </row>
    <row r="255" spans="1:20" ht="15" hidden="1" customHeight="1" outlineLevel="1" x14ac:dyDescent="0.3">
      <c r="C255" s="6"/>
      <c r="D255" t="s">
        <v>311</v>
      </c>
      <c r="F255" s="168" t="s">
        <v>27</v>
      </c>
      <c r="G255" s="168"/>
      <c r="H255" s="75"/>
      <c r="M255" s="12"/>
      <c r="N255" s="64" t="s">
        <v>95</v>
      </c>
      <c r="O255" s="65" t="s">
        <v>95</v>
      </c>
      <c r="P255" s="65" t="s">
        <v>95</v>
      </c>
      <c r="Q255" s="66" t="s">
        <v>95</v>
      </c>
    </row>
    <row r="256" spans="1:20" ht="15" hidden="1" customHeight="1" outlineLevel="1" x14ac:dyDescent="0.3">
      <c r="C256" s="6"/>
      <c r="F256" s="168" t="s">
        <v>107</v>
      </c>
      <c r="G256" s="168"/>
      <c r="H256" s="75"/>
      <c r="M256" s="12"/>
      <c r="N256" s="64" t="s">
        <v>95</v>
      </c>
      <c r="O256" s="65" t="s">
        <v>95</v>
      </c>
      <c r="P256" s="65" t="s">
        <v>95</v>
      </c>
      <c r="Q256" s="66" t="s">
        <v>95</v>
      </c>
    </row>
    <row r="257" spans="3:17" ht="15" hidden="1" customHeight="1" outlineLevel="1" x14ac:dyDescent="0.3">
      <c r="C257" s="6"/>
      <c r="F257" s="168" t="s">
        <v>107</v>
      </c>
      <c r="G257" s="168"/>
      <c r="H257" s="75"/>
      <c r="M257" s="12"/>
      <c r="N257" s="64" t="s">
        <v>95</v>
      </c>
      <c r="O257" s="65" t="s">
        <v>95</v>
      </c>
      <c r="P257" s="65" t="s">
        <v>95</v>
      </c>
      <c r="Q257" s="66" t="s">
        <v>95</v>
      </c>
    </row>
    <row r="258" spans="3:17" ht="15" hidden="1" customHeight="1" outlineLevel="1" x14ac:dyDescent="0.3">
      <c r="C258" s="171" t="s">
        <v>312</v>
      </c>
      <c r="D258" s="172"/>
      <c r="E258" s="172"/>
      <c r="F258" s="172"/>
      <c r="G258" s="91" t="str">
        <f>IF(COUNTIF(F259:G263,"Y")+COUNTIF(F259:G263,"na")+COUNTIF(F259:G263,"n/a")=COUNTA(F259:G263), "Complete", "Incomplete")</f>
        <v>Incomplete</v>
      </c>
      <c r="H258" s="63"/>
      <c r="I258" s="1"/>
      <c r="J258" s="1"/>
      <c r="K258" s="1"/>
      <c r="L258" s="1"/>
      <c r="M258" s="18"/>
      <c r="N258" s="6"/>
      <c r="O258" s="1"/>
      <c r="P258" s="1"/>
      <c r="Q258" s="18"/>
    </row>
    <row r="259" spans="3:17" ht="15" hidden="1" customHeight="1" outlineLevel="1" x14ac:dyDescent="0.3">
      <c r="C259" s="6"/>
      <c r="D259" t="s">
        <v>313</v>
      </c>
      <c r="F259" s="168" t="s">
        <v>107</v>
      </c>
      <c r="G259" s="168"/>
      <c r="H259" s="75"/>
      <c r="M259" s="12"/>
      <c r="N259" s="64" t="s">
        <v>95</v>
      </c>
      <c r="O259" s="65" t="s">
        <v>95</v>
      </c>
      <c r="P259" s="65" t="s">
        <v>95</v>
      </c>
      <c r="Q259" s="66" t="s">
        <v>95</v>
      </c>
    </row>
    <row r="260" spans="3:17" ht="15" hidden="1" customHeight="1" outlineLevel="1" x14ac:dyDescent="0.3">
      <c r="C260" s="6"/>
      <c r="D260" t="s">
        <v>101</v>
      </c>
      <c r="F260" s="168" t="s">
        <v>27</v>
      </c>
      <c r="G260" s="168"/>
      <c r="H260" s="75"/>
      <c r="M260" s="12"/>
      <c r="N260" s="64" t="s">
        <v>95</v>
      </c>
      <c r="O260" s="65" t="s">
        <v>95</v>
      </c>
      <c r="P260" s="65" t="s">
        <v>95</v>
      </c>
      <c r="Q260" s="66" t="s">
        <v>95</v>
      </c>
    </row>
    <row r="261" spans="3:17" ht="15" hidden="1" customHeight="1" outlineLevel="1" x14ac:dyDescent="0.3">
      <c r="C261" s="6"/>
      <c r="D261" t="s">
        <v>314</v>
      </c>
      <c r="F261" s="168" t="s">
        <v>27</v>
      </c>
      <c r="G261" s="168"/>
      <c r="H261" s="75"/>
      <c r="M261" s="12"/>
      <c r="N261" s="64" t="s">
        <v>95</v>
      </c>
      <c r="O261" s="65" t="s">
        <v>95</v>
      </c>
      <c r="P261" s="65" t="s">
        <v>95</v>
      </c>
      <c r="Q261" s="66" t="s">
        <v>95</v>
      </c>
    </row>
    <row r="262" spans="3:17" ht="15" hidden="1" customHeight="1" outlineLevel="1" x14ac:dyDescent="0.3">
      <c r="C262" s="6"/>
      <c r="D262" t="s">
        <v>315</v>
      </c>
      <c r="F262" s="168" t="s">
        <v>27</v>
      </c>
      <c r="G262" s="168"/>
      <c r="H262" s="75"/>
      <c r="M262" s="12"/>
      <c r="N262" s="64" t="s">
        <v>95</v>
      </c>
      <c r="O262" s="65" t="s">
        <v>95</v>
      </c>
      <c r="P262" s="65" t="s">
        <v>95</v>
      </c>
      <c r="Q262" s="66" t="s">
        <v>95</v>
      </c>
    </row>
    <row r="263" spans="3:17" ht="15" hidden="1" customHeight="1" outlineLevel="1" x14ac:dyDescent="0.3">
      <c r="C263" s="6"/>
      <c r="F263" s="168" t="s">
        <v>107</v>
      </c>
      <c r="G263" s="168"/>
      <c r="H263" s="75"/>
      <c r="M263" s="12"/>
      <c r="N263" s="64" t="s">
        <v>95</v>
      </c>
      <c r="O263" s="65" t="s">
        <v>95</v>
      </c>
      <c r="P263" s="65" t="s">
        <v>95</v>
      </c>
      <c r="Q263" s="66" t="s">
        <v>95</v>
      </c>
    </row>
    <row r="264" spans="3:17" ht="15" hidden="1" customHeight="1" outlineLevel="1" x14ac:dyDescent="0.3">
      <c r="C264" s="171" t="s">
        <v>316</v>
      </c>
      <c r="D264" s="172"/>
      <c r="E264" s="172"/>
      <c r="F264" s="172"/>
      <c r="G264" s="91" t="str">
        <f>IF(COUNTIF(F265:G269,"Y")+COUNTIF(F265:G269,"na")+COUNTIF(F265:G269,"n/a")=COUNTA(F265:G269), "Complete", "Incomplete")</f>
        <v>Incomplete</v>
      </c>
      <c r="H264" s="63"/>
      <c r="I264" s="1"/>
      <c r="J264" s="1"/>
      <c r="K264" s="1"/>
      <c r="L264" s="1"/>
      <c r="M264" s="18"/>
      <c r="N264" s="6"/>
      <c r="O264" s="1"/>
      <c r="P264" s="1"/>
      <c r="Q264" s="18"/>
    </row>
    <row r="265" spans="3:17" ht="15" hidden="1" customHeight="1" outlineLevel="1" x14ac:dyDescent="0.3">
      <c r="C265" s="10"/>
      <c r="D265" t="s">
        <v>317</v>
      </c>
      <c r="F265" s="168" t="s">
        <v>27</v>
      </c>
      <c r="G265" s="168"/>
      <c r="H265" s="75"/>
      <c r="M265" s="12"/>
      <c r="N265" s="64" t="s">
        <v>95</v>
      </c>
      <c r="O265" s="65" t="s">
        <v>95</v>
      </c>
      <c r="P265" s="65" t="s">
        <v>95</v>
      </c>
      <c r="Q265" s="66" t="s">
        <v>95</v>
      </c>
    </row>
    <row r="266" spans="3:17" ht="15" hidden="1" customHeight="1" outlineLevel="1" x14ac:dyDescent="0.3">
      <c r="C266" s="10"/>
      <c r="D266" t="s">
        <v>318</v>
      </c>
      <c r="F266" s="168" t="s">
        <v>27</v>
      </c>
      <c r="G266" s="168"/>
      <c r="H266" s="75"/>
      <c r="M266" s="12"/>
      <c r="N266" s="64" t="s">
        <v>95</v>
      </c>
      <c r="O266" s="65" t="s">
        <v>95</v>
      </c>
      <c r="P266" s="65" t="s">
        <v>95</v>
      </c>
      <c r="Q266" s="66" t="s">
        <v>95</v>
      </c>
    </row>
    <row r="267" spans="3:17" ht="15" hidden="1" customHeight="1" outlineLevel="1" x14ac:dyDescent="0.3">
      <c r="C267" s="6"/>
      <c r="D267" t="s">
        <v>319</v>
      </c>
      <c r="F267" s="168" t="s">
        <v>27</v>
      </c>
      <c r="G267" s="168"/>
      <c r="H267" s="75"/>
      <c r="M267" s="12"/>
      <c r="N267" s="64" t="s">
        <v>95</v>
      </c>
      <c r="O267" s="65" t="s">
        <v>95</v>
      </c>
      <c r="P267" s="65" t="s">
        <v>95</v>
      </c>
      <c r="Q267" s="66" t="s">
        <v>95</v>
      </c>
    </row>
    <row r="268" spans="3:17" ht="15" hidden="1" customHeight="1" outlineLevel="1" x14ac:dyDescent="0.3">
      <c r="C268" s="6"/>
      <c r="F268" s="168" t="s">
        <v>107</v>
      </c>
      <c r="G268" s="168"/>
      <c r="H268" s="75"/>
      <c r="M268" s="12"/>
      <c r="N268" s="64" t="s">
        <v>95</v>
      </c>
      <c r="O268" s="65" t="s">
        <v>95</v>
      </c>
      <c r="P268" s="65" t="s">
        <v>95</v>
      </c>
      <c r="Q268" s="66" t="s">
        <v>95</v>
      </c>
    </row>
    <row r="269" spans="3:17" ht="15" hidden="1" customHeight="1" outlineLevel="1" x14ac:dyDescent="0.3">
      <c r="C269" s="6"/>
      <c r="F269" s="168" t="s">
        <v>107</v>
      </c>
      <c r="G269" s="168"/>
      <c r="H269" s="75"/>
      <c r="M269" s="12"/>
      <c r="N269" s="64" t="s">
        <v>95</v>
      </c>
      <c r="O269" s="65" t="s">
        <v>95</v>
      </c>
      <c r="P269" s="65" t="s">
        <v>95</v>
      </c>
      <c r="Q269" s="66" t="s">
        <v>95</v>
      </c>
    </row>
    <row r="270" spans="3:17" ht="15" hidden="1" customHeight="1" outlineLevel="1" x14ac:dyDescent="0.3">
      <c r="C270" s="171" t="s">
        <v>320</v>
      </c>
      <c r="D270" s="172"/>
      <c r="E270" s="172"/>
      <c r="F270" s="172"/>
      <c r="G270" s="91" t="str">
        <f>IF(COUNTIF(F271:G275,"Y")+COUNTIF(F271:G275,"na")+COUNTIF(F271:G275,"n/a")=COUNTA(F271:G275), "Complete", "Incomplete")</f>
        <v>Incomplete</v>
      </c>
      <c r="H270" s="63"/>
      <c r="I270" s="1"/>
      <c r="J270" s="1"/>
      <c r="K270" s="1"/>
      <c r="L270" s="1"/>
      <c r="M270" s="18"/>
      <c r="N270" s="6"/>
      <c r="O270" s="1"/>
      <c r="P270" s="1"/>
      <c r="Q270" s="18"/>
    </row>
    <row r="271" spans="3:17" ht="15" hidden="1" customHeight="1" outlineLevel="1" x14ac:dyDescent="0.3">
      <c r="C271" s="10"/>
      <c r="D271" t="s">
        <v>321</v>
      </c>
      <c r="F271" s="168" t="s">
        <v>27</v>
      </c>
      <c r="G271" s="168"/>
      <c r="H271" s="75"/>
      <c r="M271" s="12"/>
      <c r="N271" s="64" t="s">
        <v>95</v>
      </c>
      <c r="O271" s="65" t="s">
        <v>95</v>
      </c>
      <c r="P271" s="65" t="s">
        <v>95</v>
      </c>
      <c r="Q271" s="66" t="s">
        <v>95</v>
      </c>
    </row>
    <row r="272" spans="3:17" ht="15" hidden="1" customHeight="1" outlineLevel="1" x14ac:dyDescent="0.3">
      <c r="C272" s="10"/>
      <c r="D272" t="s">
        <v>322</v>
      </c>
      <c r="F272" s="168" t="s">
        <v>27</v>
      </c>
      <c r="G272" s="168"/>
      <c r="H272" s="75"/>
      <c r="M272" s="12"/>
      <c r="N272" s="64" t="s">
        <v>95</v>
      </c>
      <c r="O272" s="65" t="s">
        <v>95</v>
      </c>
      <c r="P272" s="65" t="s">
        <v>95</v>
      </c>
      <c r="Q272" s="66" t="s">
        <v>95</v>
      </c>
    </row>
    <row r="273" spans="1:17" ht="15" hidden="1" customHeight="1" outlineLevel="1" x14ac:dyDescent="0.3">
      <c r="C273" s="6"/>
      <c r="F273" s="168" t="s">
        <v>107</v>
      </c>
      <c r="G273" s="168"/>
      <c r="H273" s="75"/>
      <c r="M273" s="12"/>
      <c r="N273" s="64" t="s">
        <v>95</v>
      </c>
      <c r="O273" s="65" t="s">
        <v>95</v>
      </c>
      <c r="P273" s="65" t="s">
        <v>95</v>
      </c>
      <c r="Q273" s="66" t="s">
        <v>95</v>
      </c>
    </row>
    <row r="274" spans="1:17" ht="15" hidden="1" customHeight="1" outlineLevel="1" x14ac:dyDescent="0.3">
      <c r="C274" s="6"/>
      <c r="F274" s="168" t="s">
        <v>107</v>
      </c>
      <c r="G274" s="168"/>
      <c r="H274" s="75"/>
      <c r="M274" s="12"/>
      <c r="N274" s="64" t="s">
        <v>95</v>
      </c>
      <c r="O274" s="65" t="s">
        <v>95</v>
      </c>
      <c r="P274" s="65" t="s">
        <v>95</v>
      </c>
      <c r="Q274" s="66" t="s">
        <v>95</v>
      </c>
    </row>
    <row r="275" spans="1:17" ht="15.75" hidden="1" customHeight="1" outlineLevel="1" thickBot="1" x14ac:dyDescent="0.3">
      <c r="C275" s="6"/>
      <c r="D275" t="s">
        <v>323</v>
      </c>
      <c r="F275" s="168" t="s">
        <v>27</v>
      </c>
      <c r="G275" s="168"/>
      <c r="H275" s="76"/>
      <c r="I275" s="184"/>
      <c r="J275" s="184"/>
      <c r="K275" s="184"/>
      <c r="L275" s="184"/>
      <c r="M275" s="185"/>
      <c r="N275" s="64" t="s">
        <v>95</v>
      </c>
      <c r="O275" s="65" t="s">
        <v>95</v>
      </c>
      <c r="P275" s="65" t="s">
        <v>95</v>
      </c>
      <c r="Q275" s="66" t="s">
        <v>95</v>
      </c>
    </row>
    <row r="276" spans="1:17" ht="42.75" customHeight="1" collapsed="1" thickBot="1" x14ac:dyDescent="0.35">
      <c r="A276" s="87"/>
      <c r="B276" s="87"/>
      <c r="C276" s="199" t="s">
        <v>228</v>
      </c>
      <c r="D276" s="200"/>
      <c r="E276" s="201"/>
      <c r="F276" s="202" t="s">
        <v>229</v>
      </c>
      <c r="G276" s="203"/>
      <c r="H276" s="157"/>
      <c r="I276" s="202"/>
      <c r="J276" s="204"/>
      <c r="K276" s="204"/>
      <c r="L276" s="204"/>
      <c r="M276" s="205"/>
      <c r="N276" s="206" t="s">
        <v>230</v>
      </c>
      <c r="O276" s="207"/>
      <c r="P276" s="200" t="s">
        <v>108</v>
      </c>
      <c r="Q276" s="208"/>
    </row>
    <row r="277" spans="1:17" ht="15.75" thickBot="1" x14ac:dyDescent="0.3">
      <c r="C277" s="39"/>
      <c r="D277" s="35"/>
      <c r="E277" s="35"/>
      <c r="F277" s="40"/>
      <c r="G277" s="96"/>
      <c r="H277" s="35"/>
      <c r="I277" s="41"/>
      <c r="J277" s="41"/>
      <c r="K277" s="41"/>
      <c r="L277" s="41"/>
      <c r="M277" s="42"/>
      <c r="N277" s="34"/>
      <c r="O277" s="35"/>
      <c r="P277" s="35"/>
      <c r="Q277" s="36"/>
    </row>
    <row r="278" spans="1:17" ht="20.100000000000001" customHeight="1" x14ac:dyDescent="0.25">
      <c r="C278" s="45"/>
      <c r="D278" s="27"/>
      <c r="E278" s="27"/>
      <c r="F278" s="46"/>
      <c r="G278" s="100"/>
      <c r="H278" s="27"/>
      <c r="I278" s="27"/>
      <c r="J278" s="27"/>
      <c r="K278" s="27"/>
      <c r="L278" s="27"/>
      <c r="M278" s="27"/>
      <c r="N278" s="27"/>
      <c r="O278" s="27"/>
      <c r="P278" s="27"/>
      <c r="Q278" s="28"/>
    </row>
    <row r="279" spans="1:17" ht="51" customHeight="1" x14ac:dyDescent="0.35">
      <c r="C279" s="181" t="s">
        <v>324</v>
      </c>
      <c r="D279" s="182"/>
      <c r="E279" s="182"/>
      <c r="F279" s="182"/>
      <c r="G279" s="182"/>
      <c r="H279" s="182"/>
      <c r="I279" s="182"/>
      <c r="J279" s="182"/>
      <c r="K279" s="182"/>
      <c r="L279" s="182"/>
      <c r="M279" s="182"/>
      <c r="N279" s="182"/>
      <c r="O279" s="182"/>
      <c r="P279" s="182"/>
      <c r="Q279" s="183"/>
    </row>
    <row r="280" spans="1:17" ht="52.5" customHeight="1" x14ac:dyDescent="0.35">
      <c r="C280" s="178" t="s">
        <v>325</v>
      </c>
      <c r="D280" s="179"/>
      <c r="E280" s="179"/>
      <c r="F280" s="179"/>
      <c r="G280" s="179"/>
      <c r="H280" s="179"/>
      <c r="I280" s="179"/>
      <c r="J280" s="179"/>
      <c r="K280" s="179"/>
      <c r="L280" s="179"/>
      <c r="M280" s="179"/>
      <c r="N280" s="179"/>
      <c r="O280" s="179"/>
      <c r="P280" s="179"/>
      <c r="Q280" s="180"/>
    </row>
    <row r="281" spans="1:17" ht="20.100000000000001" customHeight="1" thickBot="1" x14ac:dyDescent="0.4">
      <c r="C281" s="43"/>
      <c r="D281" s="44"/>
      <c r="E281" s="44"/>
      <c r="F281" s="44"/>
      <c r="G281" s="101"/>
      <c r="H281" s="44"/>
      <c r="I281" s="44"/>
      <c r="J281" s="44"/>
      <c r="K281" s="44"/>
      <c r="L281" s="44"/>
      <c r="M281" s="44"/>
      <c r="N281" s="50"/>
      <c r="O281" s="50"/>
      <c r="P281" s="50"/>
      <c r="Q281" s="51"/>
    </row>
    <row r="282" spans="1:17" ht="28.5" customHeight="1" thickBot="1" x14ac:dyDescent="0.4">
      <c r="C282" s="174" t="str">
        <f>D21</f>
        <v>Inspect External</v>
      </c>
      <c r="D282" s="175"/>
      <c r="E282" s="175"/>
      <c r="F282" s="14" t="s">
        <v>90</v>
      </c>
      <c r="G282" s="95" t="str">
        <f>IF(E21="Y",IF(AND(G283="complete",G288="complete"), "Section Complete", "Section Incomplete"),"Section N/A")</f>
        <v>Section N/A</v>
      </c>
      <c r="H282" s="15" t="s">
        <v>91</v>
      </c>
      <c r="I282" s="169" t="s">
        <v>92</v>
      </c>
      <c r="J282" s="169"/>
      <c r="K282" s="169"/>
      <c r="L282" s="169"/>
      <c r="M282" s="170"/>
      <c r="N282" s="37"/>
      <c r="O282" s="33"/>
      <c r="P282" s="33"/>
      <c r="Q282" s="38"/>
    </row>
    <row r="283" spans="1:17" ht="14.25" customHeight="1" outlineLevel="1" x14ac:dyDescent="0.25">
      <c r="C283" s="171" t="s">
        <v>162</v>
      </c>
      <c r="D283" s="172"/>
      <c r="E283" s="172"/>
      <c r="F283" s="172"/>
      <c r="G283" s="91" t="str">
        <f>IF(COUNTIF(F284:G287,"Y")+COUNTIF(F284:G287,"na")+COUNTIF(F284:G287,"n/a")=COUNTA(F284:G287), "Complete", "Incomplete")</f>
        <v>Incomplete</v>
      </c>
      <c r="H283" s="1"/>
      <c r="I283" s="23"/>
      <c r="J283" s="23"/>
      <c r="K283" s="23"/>
      <c r="L283" s="23"/>
      <c r="M283" s="24"/>
      <c r="N283" s="6" t="s">
        <v>326</v>
      </c>
      <c r="O283" s="1" t="s">
        <v>327</v>
      </c>
      <c r="P283" s="1"/>
      <c r="Q283" s="18"/>
    </row>
    <row r="284" spans="1:17" outlineLevel="1" x14ac:dyDescent="0.25">
      <c r="C284" s="6"/>
      <c r="D284" t="s">
        <v>328</v>
      </c>
      <c r="F284" s="168" t="s">
        <v>27</v>
      </c>
      <c r="G284" s="168"/>
      <c r="M284" s="12"/>
      <c r="N284" s="11"/>
      <c r="Q284" s="12"/>
    </row>
    <row r="285" spans="1:17" outlineLevel="1" x14ac:dyDescent="0.25">
      <c r="C285" s="6"/>
      <c r="D285" t="s">
        <v>438</v>
      </c>
      <c r="F285" s="168" t="s">
        <v>27</v>
      </c>
      <c r="G285" s="168"/>
      <c r="M285" s="12"/>
      <c r="N285" s="11"/>
      <c r="Q285" s="12"/>
    </row>
    <row r="286" spans="1:17" outlineLevel="1" x14ac:dyDescent="0.25">
      <c r="C286" s="6"/>
      <c r="D286" t="s">
        <v>329</v>
      </c>
      <c r="F286" s="168" t="s">
        <v>27</v>
      </c>
      <c r="G286" s="168"/>
      <c r="M286" s="12"/>
      <c r="N286" s="11"/>
      <c r="Q286" s="12"/>
    </row>
    <row r="287" spans="1:17" ht="33.75" customHeight="1" outlineLevel="1" x14ac:dyDescent="0.25">
      <c r="C287" s="6"/>
      <c r="D287" s="77" t="s">
        <v>439</v>
      </c>
      <c r="E287" s="77"/>
      <c r="F287" s="168" t="s">
        <v>27</v>
      </c>
      <c r="G287" s="168"/>
      <c r="M287" s="12"/>
      <c r="N287" s="11"/>
      <c r="Q287" s="12"/>
    </row>
    <row r="288" spans="1:17" outlineLevel="1" x14ac:dyDescent="0.25">
      <c r="C288" s="171" t="s">
        <v>330</v>
      </c>
      <c r="D288" s="172"/>
      <c r="E288" s="172"/>
      <c r="F288" s="172"/>
      <c r="G288" s="91" t="str">
        <f>IF(COUNTIF(F289:G290,"Y")+COUNTIF(F289:G290,"na")+COUNTIF(F289:G290,"n/a")=COUNTA(F289:G290), "Complete", "Incomplete")</f>
        <v>Incomplete</v>
      </c>
      <c r="H288" s="1"/>
      <c r="I288" s="1"/>
      <c r="J288" s="1"/>
      <c r="K288" s="1"/>
      <c r="L288" s="1"/>
      <c r="M288" s="18"/>
      <c r="N288" s="6"/>
      <c r="O288" s="1"/>
      <c r="P288" s="1"/>
      <c r="Q288" s="18"/>
    </row>
    <row r="289" spans="3:17" outlineLevel="1" x14ac:dyDescent="0.25">
      <c r="C289" s="6"/>
      <c r="D289" t="s">
        <v>331</v>
      </c>
      <c r="F289" s="168" t="s">
        <v>27</v>
      </c>
      <c r="G289" s="168"/>
      <c r="M289" s="12"/>
      <c r="N289" s="11"/>
      <c r="Q289" s="12"/>
    </row>
    <row r="290" spans="3:17" outlineLevel="1" x14ac:dyDescent="0.25">
      <c r="C290" s="6"/>
      <c r="D290" t="s">
        <v>440</v>
      </c>
      <c r="F290" s="168" t="s">
        <v>332</v>
      </c>
      <c r="G290" s="168"/>
      <c r="M290" s="12"/>
      <c r="N290" s="11"/>
      <c r="Q290" s="12"/>
    </row>
    <row r="291" spans="3:17" ht="15.75" thickBot="1" x14ac:dyDescent="0.3">
      <c r="C291" s="31"/>
      <c r="D291" s="29"/>
      <c r="E291" s="29"/>
      <c r="F291" s="32"/>
      <c r="G291" s="99"/>
      <c r="H291" s="29"/>
      <c r="I291" s="2"/>
      <c r="J291" s="2"/>
      <c r="K291" s="2"/>
      <c r="L291" s="2"/>
      <c r="M291" s="8"/>
      <c r="N291" s="7"/>
      <c r="O291" s="29"/>
      <c r="P291" s="29"/>
      <c r="Q291" s="30"/>
    </row>
    <row r="292" spans="3:17" ht="28.5" customHeight="1" thickBot="1" x14ac:dyDescent="0.4">
      <c r="C292" s="174" t="str">
        <f>D22</f>
        <v>Data</v>
      </c>
      <c r="D292" s="175"/>
      <c r="E292" s="175"/>
      <c r="F292" s="14" t="s">
        <v>90</v>
      </c>
      <c r="G292" s="95" t="str">
        <f>IF(E22="Y",IF(AND(G293="complete",#REF!="complete"), "Section Complete", "Section Incomplete"),"Section N/A")</f>
        <v>Section N/A</v>
      </c>
      <c r="H292" s="15" t="s">
        <v>91</v>
      </c>
      <c r="I292" s="169" t="s">
        <v>92</v>
      </c>
      <c r="J292" s="169"/>
      <c r="K292" s="169"/>
      <c r="L292" s="169"/>
      <c r="M292" s="170"/>
      <c r="N292" s="37"/>
      <c r="O292" s="33"/>
      <c r="P292" s="33"/>
      <c r="Q292" s="38"/>
    </row>
    <row r="293" spans="3:17" ht="14.25" customHeight="1" outlineLevel="1" x14ac:dyDescent="0.25">
      <c r="C293" s="171" t="s">
        <v>333</v>
      </c>
      <c r="D293" s="172"/>
      <c r="E293" s="172"/>
      <c r="F293" s="172"/>
      <c r="G293" s="91" t="str">
        <f>IF(COUNTIF(F294:G302,"Y")+COUNTIF(F294:G302,"na")+COUNTIF(F294:G302,"n/a")=COUNTA(F294:G302), "Complete", "Incomplete")</f>
        <v>Incomplete</v>
      </c>
      <c r="H293" s="1"/>
      <c r="I293" s="23"/>
      <c r="J293" s="23"/>
      <c r="K293" s="23"/>
      <c r="L293" s="23"/>
      <c r="M293" s="24"/>
      <c r="N293" s="6"/>
      <c r="O293" s="1"/>
      <c r="P293" s="1"/>
      <c r="Q293" s="18"/>
    </row>
    <row r="294" spans="3:17" outlineLevel="1" x14ac:dyDescent="0.25">
      <c r="C294" s="6"/>
      <c r="D294" t="s">
        <v>334</v>
      </c>
      <c r="F294" s="168" t="s">
        <v>27</v>
      </c>
      <c r="G294" s="168"/>
      <c r="M294" s="12"/>
      <c r="N294" s="11"/>
      <c r="Q294" s="12"/>
    </row>
    <row r="295" spans="3:17" outlineLevel="1" x14ac:dyDescent="0.25">
      <c r="C295" s="6" t="s">
        <v>441</v>
      </c>
      <c r="D295" t="s">
        <v>335</v>
      </c>
      <c r="F295" s="168" t="s">
        <v>27</v>
      </c>
      <c r="G295" s="168"/>
      <c r="M295" s="12"/>
      <c r="N295" s="11"/>
      <c r="Q295" s="12"/>
    </row>
    <row r="296" spans="3:17" outlineLevel="1" x14ac:dyDescent="0.25">
      <c r="C296" s="6" t="s">
        <v>441</v>
      </c>
      <c r="D296" t="s">
        <v>336</v>
      </c>
      <c r="F296" s="168" t="s">
        <v>27</v>
      </c>
      <c r="G296" s="168"/>
      <c r="M296" s="12"/>
      <c r="N296" s="11"/>
      <c r="Q296" s="12"/>
    </row>
    <row r="297" spans="3:17" outlineLevel="1" x14ac:dyDescent="0.25">
      <c r="C297" s="6"/>
      <c r="D297" t="s">
        <v>337</v>
      </c>
      <c r="F297" s="168" t="s">
        <v>27</v>
      </c>
      <c r="G297" s="168"/>
      <c r="M297" s="12"/>
      <c r="N297" s="11"/>
      <c r="Q297" s="12"/>
    </row>
    <row r="298" spans="3:17" outlineLevel="1" x14ac:dyDescent="0.25">
      <c r="C298" s="6"/>
      <c r="D298" t="s">
        <v>338</v>
      </c>
      <c r="F298" s="168" t="s">
        <v>27</v>
      </c>
      <c r="G298" s="168"/>
      <c r="M298" s="12"/>
      <c r="N298" s="11"/>
      <c r="Q298" s="12"/>
    </row>
    <row r="299" spans="3:17" outlineLevel="1" x14ac:dyDescent="0.25">
      <c r="C299" s="6" t="s">
        <v>441</v>
      </c>
      <c r="D299" t="s">
        <v>339</v>
      </c>
      <c r="F299" s="168" t="s">
        <v>27</v>
      </c>
      <c r="G299" s="168"/>
      <c r="M299" s="12"/>
      <c r="N299" s="11"/>
      <c r="Q299" s="12"/>
    </row>
    <row r="300" spans="3:17" outlineLevel="1" x14ac:dyDescent="0.25">
      <c r="C300" s="6" t="s">
        <v>441</v>
      </c>
      <c r="D300" t="s">
        <v>340</v>
      </c>
      <c r="F300" s="168" t="s">
        <v>27</v>
      </c>
      <c r="G300" s="168"/>
      <c r="M300" s="12"/>
      <c r="N300" s="11"/>
      <c r="Q300" s="12"/>
    </row>
    <row r="301" spans="3:17" outlineLevel="1" x14ac:dyDescent="0.25">
      <c r="C301" s="6"/>
      <c r="D301" t="s">
        <v>442</v>
      </c>
      <c r="F301" s="168" t="s">
        <v>107</v>
      </c>
      <c r="G301" s="168"/>
      <c r="M301" s="12"/>
      <c r="N301" s="11"/>
      <c r="Q301" s="12"/>
    </row>
    <row r="302" spans="3:17" outlineLevel="1" x14ac:dyDescent="0.25">
      <c r="C302" s="6"/>
      <c r="F302" s="168" t="s">
        <v>107</v>
      </c>
      <c r="G302" s="168"/>
      <c r="M302" s="12"/>
      <c r="N302" s="11"/>
      <c r="Q302" s="12"/>
    </row>
    <row r="303" spans="3:17" ht="15.75" thickBot="1" x14ac:dyDescent="0.3">
      <c r="C303" s="31"/>
      <c r="D303" s="29"/>
      <c r="E303" s="29"/>
      <c r="F303" s="32"/>
      <c r="G303" s="99"/>
      <c r="H303" s="29"/>
      <c r="I303" s="2"/>
      <c r="J303" s="2"/>
      <c r="K303" s="2"/>
      <c r="L303" s="2"/>
      <c r="M303" s="8"/>
      <c r="N303" s="7"/>
      <c r="O303" s="29"/>
      <c r="P303" s="29"/>
      <c r="Q303" s="30"/>
    </row>
    <row r="304" spans="3:17" ht="28.5" customHeight="1" thickBot="1" x14ac:dyDescent="0.4">
      <c r="C304" s="174" t="str">
        <f>D23</f>
        <v>Inspect Internal (if opening)</v>
      </c>
      <c r="D304" s="175"/>
      <c r="E304" s="175"/>
      <c r="F304" s="14" t="s">
        <v>90</v>
      </c>
      <c r="G304" s="95" t="str">
        <f>IF(E23="Y",IF(AND(G305="complete",G309="complete",G316="complete"), "Section Complete", "Section Incomplete"), "Section N/A")</f>
        <v>Section N/A</v>
      </c>
      <c r="H304" s="15" t="s">
        <v>91</v>
      </c>
      <c r="I304" s="169" t="s">
        <v>92</v>
      </c>
      <c r="J304" s="169"/>
      <c r="K304" s="169"/>
      <c r="L304" s="169"/>
      <c r="M304" s="170"/>
      <c r="N304" s="37"/>
      <c r="O304" s="33"/>
      <c r="P304" s="33"/>
      <c r="Q304" s="38"/>
    </row>
    <row r="305" spans="3:17" ht="14.25" customHeight="1" outlineLevel="1" x14ac:dyDescent="0.25">
      <c r="C305" s="171" t="s">
        <v>63</v>
      </c>
      <c r="D305" s="172"/>
      <c r="E305" s="172"/>
      <c r="F305" s="172"/>
      <c r="G305" s="91" t="str">
        <f>IF(COUNTIF(F306:G308,"Y")+COUNTIF(F306:G308,"na")+COUNTIF(F306:G308,"n/a")=COUNTA(F306:G308), "Complete", "Incomplete")</f>
        <v>Incomplete</v>
      </c>
      <c r="H305" s="1"/>
      <c r="I305" s="1"/>
      <c r="J305" s="1"/>
      <c r="K305" s="1"/>
      <c r="L305" s="1"/>
      <c r="M305" s="18"/>
      <c r="N305" s="6"/>
      <c r="O305" s="1"/>
      <c r="P305" s="1"/>
      <c r="Q305" s="18"/>
    </row>
    <row r="306" spans="3:17" outlineLevel="1" x14ac:dyDescent="0.25">
      <c r="C306" s="6"/>
      <c r="D306" t="s">
        <v>341</v>
      </c>
      <c r="F306" s="168" t="s">
        <v>27</v>
      </c>
      <c r="G306" s="168"/>
      <c r="M306" s="12"/>
      <c r="N306" s="11"/>
      <c r="Q306" s="12"/>
    </row>
    <row r="307" spans="3:17" outlineLevel="1" x14ac:dyDescent="0.25">
      <c r="C307" s="6"/>
      <c r="D307" t="s">
        <v>342</v>
      </c>
      <c r="F307" s="168" t="s">
        <v>27</v>
      </c>
      <c r="G307" s="168"/>
      <c r="M307" s="12"/>
      <c r="N307" s="11"/>
      <c r="Q307" s="12"/>
    </row>
    <row r="308" spans="3:17" outlineLevel="1" x14ac:dyDescent="0.25">
      <c r="C308" s="6"/>
      <c r="D308" t="s">
        <v>343</v>
      </c>
      <c r="F308" s="168" t="s">
        <v>107</v>
      </c>
      <c r="G308" s="168"/>
      <c r="M308" s="12"/>
      <c r="N308" s="11"/>
      <c r="Q308" s="12"/>
    </row>
    <row r="309" spans="3:17" outlineLevel="1" x14ac:dyDescent="0.25">
      <c r="C309" s="171" t="s">
        <v>344</v>
      </c>
      <c r="D309" s="172"/>
      <c r="E309" s="172"/>
      <c r="F309" s="172"/>
      <c r="G309" s="91" t="str">
        <f>IF(COUNTIF(F310:G315,"Y")+COUNTIF(F310:G315,"na")+COUNTIF(F310:G315,"n/a")=COUNTA(F310:G315), "Complete", "Incomplete")</f>
        <v>Incomplete</v>
      </c>
      <c r="H309" s="1"/>
      <c r="I309" s="1"/>
      <c r="J309" s="1"/>
      <c r="K309" s="1"/>
      <c r="L309" s="1"/>
      <c r="M309" s="18"/>
      <c r="N309" s="6"/>
      <c r="O309" s="1"/>
      <c r="P309" s="1"/>
      <c r="Q309" s="18"/>
    </row>
    <row r="310" spans="3:17" outlineLevel="1" x14ac:dyDescent="0.25">
      <c r="C310" s="6"/>
      <c r="D310" t="s">
        <v>345</v>
      </c>
      <c r="F310" s="168" t="s">
        <v>94</v>
      </c>
      <c r="G310" s="168"/>
      <c r="M310" s="12"/>
      <c r="N310" s="11"/>
      <c r="Q310" s="12"/>
    </row>
    <row r="311" spans="3:17" outlineLevel="1" x14ac:dyDescent="0.25">
      <c r="C311" s="6"/>
      <c r="D311" t="s">
        <v>346</v>
      </c>
      <c r="F311" s="168" t="s">
        <v>94</v>
      </c>
      <c r="G311" s="168"/>
      <c r="M311" s="12"/>
      <c r="N311" s="11"/>
      <c r="Q311" s="12"/>
    </row>
    <row r="312" spans="3:17" outlineLevel="1" x14ac:dyDescent="0.25">
      <c r="C312" s="6"/>
      <c r="D312" t="s">
        <v>347</v>
      </c>
      <c r="F312" s="168" t="s">
        <v>94</v>
      </c>
      <c r="G312" s="168"/>
      <c r="M312" s="12"/>
      <c r="N312" s="11"/>
      <c r="Q312" s="12"/>
    </row>
    <row r="313" spans="3:17" outlineLevel="1" x14ac:dyDescent="0.25">
      <c r="C313" s="6"/>
      <c r="D313" t="s">
        <v>348</v>
      </c>
      <c r="F313" s="168" t="s">
        <v>94</v>
      </c>
      <c r="G313" s="168"/>
      <c r="M313" s="12"/>
      <c r="N313" s="11"/>
      <c r="Q313" s="12"/>
    </row>
    <row r="314" spans="3:17" outlineLevel="1" x14ac:dyDescent="0.25">
      <c r="C314" s="6"/>
      <c r="D314" t="s">
        <v>445</v>
      </c>
      <c r="F314" s="168" t="s">
        <v>94</v>
      </c>
      <c r="G314" s="168"/>
      <c r="M314" s="12"/>
      <c r="N314" s="11"/>
      <c r="Q314" s="12"/>
    </row>
    <row r="315" spans="3:17" ht="13.5" customHeight="1" outlineLevel="1" x14ac:dyDescent="0.25">
      <c r="C315" s="6"/>
      <c r="D315" t="s">
        <v>446</v>
      </c>
      <c r="F315" s="168" t="s">
        <v>94</v>
      </c>
      <c r="G315" s="168"/>
      <c r="M315" s="12"/>
      <c r="N315" s="11"/>
      <c r="Q315" s="12"/>
    </row>
    <row r="316" spans="3:17" outlineLevel="1" x14ac:dyDescent="0.25">
      <c r="C316" s="171" t="s">
        <v>349</v>
      </c>
      <c r="D316" s="172"/>
      <c r="E316" s="172"/>
      <c r="F316" s="172"/>
      <c r="G316" s="91" t="str">
        <f>IF(COUNTIF(F317:G319,"Y")+COUNTIF(F317:G319,"na")+COUNTIF(F317:G319,"n/a")=COUNTA(F317:G319), "Complete", "Incomplete")</f>
        <v>Incomplete</v>
      </c>
      <c r="H316" s="1"/>
      <c r="I316" s="1"/>
      <c r="J316" s="1"/>
      <c r="K316" s="1"/>
      <c r="L316" s="1"/>
      <c r="M316" s="18"/>
      <c r="N316" s="6"/>
      <c r="O316" s="1"/>
      <c r="P316" s="1"/>
      <c r="Q316" s="18"/>
    </row>
    <row r="317" spans="3:17" outlineLevel="1" x14ac:dyDescent="0.25">
      <c r="C317" s="6"/>
      <c r="D317" t="s">
        <v>447</v>
      </c>
      <c r="F317" s="168" t="s">
        <v>27</v>
      </c>
      <c r="G317" s="168"/>
      <c r="M317" s="12"/>
      <c r="N317" s="11"/>
      <c r="Q317" s="12"/>
    </row>
    <row r="318" spans="3:17" outlineLevel="1" x14ac:dyDescent="0.25">
      <c r="C318" s="72" t="s">
        <v>350</v>
      </c>
      <c r="D318" t="s">
        <v>351</v>
      </c>
      <c r="F318" s="168" t="s">
        <v>27</v>
      </c>
      <c r="G318" s="168"/>
      <c r="M318" s="12"/>
      <c r="N318" s="11"/>
      <c r="Q318" s="12"/>
    </row>
    <row r="319" spans="3:17" outlineLevel="1" x14ac:dyDescent="0.25">
      <c r="C319" s="6"/>
      <c r="D319" t="s">
        <v>352</v>
      </c>
      <c r="F319" s="168" t="s">
        <v>27</v>
      </c>
      <c r="G319" s="168"/>
      <c r="M319" s="12"/>
      <c r="N319" s="11"/>
      <c r="Q319" s="12"/>
    </row>
    <row r="320" spans="3:17" ht="15.75" thickBot="1" x14ac:dyDescent="0.3">
      <c r="C320" s="31"/>
      <c r="D320" s="29"/>
      <c r="E320" s="29"/>
      <c r="F320" s="32"/>
      <c r="G320" s="99"/>
      <c r="H320" s="29"/>
      <c r="I320" s="2"/>
      <c r="J320" s="2"/>
      <c r="K320" s="2"/>
      <c r="L320" s="2"/>
      <c r="M320" s="8"/>
      <c r="N320" s="7"/>
      <c r="O320" s="29"/>
      <c r="P320" s="29"/>
      <c r="Q320" s="30"/>
    </row>
    <row r="321" spans="3:17" ht="28.5" customHeight="1" thickBot="1" x14ac:dyDescent="0.4">
      <c r="C321" s="174" t="str">
        <f>D24</f>
        <v>Repairs and storage</v>
      </c>
      <c r="D321" s="175"/>
      <c r="E321" s="175"/>
      <c r="F321" s="14" t="s">
        <v>90</v>
      </c>
      <c r="G321" s="95" t="str">
        <f>IF(E24="y",IF(AND(G322="complete",G325="complete"), "Section Complete", "Section Incomplete"),"Section N/A")</f>
        <v>Section N/A</v>
      </c>
      <c r="H321" s="15" t="s">
        <v>91</v>
      </c>
      <c r="I321" s="169" t="s">
        <v>92</v>
      </c>
      <c r="J321" s="169"/>
      <c r="K321" s="169"/>
      <c r="L321" s="169"/>
      <c r="M321" s="170"/>
      <c r="N321" s="37"/>
      <c r="O321" s="33"/>
      <c r="P321" s="33"/>
      <c r="Q321" s="38"/>
    </row>
    <row r="322" spans="3:17" ht="14.25" customHeight="1" outlineLevel="1" x14ac:dyDescent="0.25">
      <c r="C322" s="171" t="s">
        <v>353</v>
      </c>
      <c r="D322" s="172"/>
      <c r="E322" s="172"/>
      <c r="F322" s="172"/>
      <c r="G322" s="91" t="str">
        <f>IF(COUNTIF(F323:G324,"Y")+COUNTIF(F323:G324,"na")+COUNTIF(F323:G324,"n/a")=COUNTA(F323:G324), "Complete", "Incomplete")</f>
        <v>Incomplete</v>
      </c>
      <c r="H322" s="1"/>
      <c r="I322" s="23"/>
      <c r="J322" s="23"/>
      <c r="K322" s="23"/>
      <c r="L322" s="23"/>
      <c r="M322" s="24"/>
      <c r="N322" s="6"/>
      <c r="O322" s="1"/>
      <c r="P322" s="1"/>
      <c r="Q322" s="18"/>
    </row>
    <row r="323" spans="3:17" outlineLevel="1" x14ac:dyDescent="0.25">
      <c r="C323" s="6"/>
      <c r="D323" t="s">
        <v>354</v>
      </c>
      <c r="F323" s="168" t="s">
        <v>94</v>
      </c>
      <c r="G323" s="168"/>
      <c r="M323" s="12"/>
      <c r="N323" s="11"/>
      <c r="Q323" s="12"/>
    </row>
    <row r="324" spans="3:17" outlineLevel="1" x14ac:dyDescent="0.25">
      <c r="C324" s="6"/>
      <c r="D324" t="s">
        <v>355</v>
      </c>
      <c r="F324" s="168" t="s">
        <v>94</v>
      </c>
      <c r="G324" s="168"/>
      <c r="M324" s="12"/>
      <c r="N324" s="11"/>
      <c r="Q324" s="12"/>
    </row>
    <row r="325" spans="3:17" outlineLevel="1" x14ac:dyDescent="0.25">
      <c r="C325" s="171" t="s">
        <v>356</v>
      </c>
      <c r="D325" s="172"/>
      <c r="E325" s="172"/>
      <c r="F325" s="172"/>
      <c r="G325" s="91" t="str">
        <f>IF(COUNTIF(F326:G326,"Y")+COUNTIF(F326:G326,"na")+COUNTIF(F326:G326,"n/a")=COUNTA(F326:G326), "Complete", "Incomplete")</f>
        <v>Incomplete</v>
      </c>
      <c r="H325" s="1"/>
      <c r="I325" s="1"/>
      <c r="J325" s="1"/>
      <c r="K325" s="1"/>
      <c r="L325" s="1"/>
      <c r="M325" s="18"/>
      <c r="N325" s="6"/>
      <c r="O325" s="1"/>
      <c r="P325" s="1"/>
      <c r="Q325" s="18"/>
    </row>
    <row r="326" spans="3:17" outlineLevel="1" x14ac:dyDescent="0.25">
      <c r="C326" s="6"/>
      <c r="D326" t="s">
        <v>444</v>
      </c>
      <c r="F326" s="168" t="s">
        <v>94</v>
      </c>
      <c r="G326" s="168"/>
      <c r="M326" s="12"/>
      <c r="N326" s="11"/>
      <c r="Q326" s="12"/>
    </row>
    <row r="1048428" spans="14:17" x14ac:dyDescent="0.25">
      <c r="N1048428" s="64" t="s">
        <v>95</v>
      </c>
      <c r="O1048428" s="65" t="s">
        <v>95</v>
      </c>
      <c r="P1048428" s="65" t="s">
        <v>95</v>
      </c>
      <c r="Q1048428" s="66" t="s">
        <v>95</v>
      </c>
    </row>
  </sheetData>
  <conditionalFormatting sqref="C13:C18 C20:C24">
    <cfRule type="dataBar" priority="268">
      <dataBar>
        <cfvo type="num" val="0"/>
        <cfvo type="num" val="1"/>
        <color theme="9" tint="-0.249977111117893"/>
      </dataBar>
      <extLst>
        <ext xmlns:x14="http://schemas.microsoft.com/office/spreadsheetml/2009/9/main" uri="{B025F937-C7B1-47D3-B67F-A62EFF666E3E}">
          <x14:id>{E51D7DD2-60AD-4F15-A72C-B020C4954FB4}</x14:id>
        </ext>
      </extLst>
    </cfRule>
  </conditionalFormatting>
  <conditionalFormatting sqref="E13">
    <cfRule type="expression" dxfId="152" priority="302">
      <formula>IF(($G$31="Section Complete"),1,0)</formula>
    </cfRule>
  </conditionalFormatting>
  <conditionalFormatting sqref="E13:E18">
    <cfRule type="cellIs" dxfId="151" priority="304" operator="equal">
      <formula>"Y"</formula>
    </cfRule>
  </conditionalFormatting>
  <conditionalFormatting sqref="E14:E18">
    <cfRule type="expression" dxfId="150" priority="301">
      <formula>IF(($G$42="Section Complete"),1,0)</formula>
    </cfRule>
  </conditionalFormatting>
  <conditionalFormatting sqref="E15">
    <cfRule type="expression" dxfId="149" priority="300">
      <formula>IF(($G$56="Section Complete"),1,0)</formula>
    </cfRule>
  </conditionalFormatting>
  <conditionalFormatting sqref="E16">
    <cfRule type="expression" dxfId="148" priority="299">
      <formula>IF(($G$180="Section Complete"),1,0)</formula>
    </cfRule>
  </conditionalFormatting>
  <conditionalFormatting sqref="E17">
    <cfRule type="expression" dxfId="147" priority="298">
      <formula>IF(($G$204="Section Complete"),1,0)</formula>
    </cfRule>
  </conditionalFormatting>
  <conditionalFormatting sqref="E18">
    <cfRule type="expression" dxfId="146" priority="297">
      <formula>IF(($G$248="Section Complete"),1,0)</formula>
    </cfRule>
  </conditionalFormatting>
  <conditionalFormatting sqref="E20:E24">
    <cfRule type="cellIs" dxfId="145" priority="303" operator="equal">
      <formula>"Y"</formula>
    </cfRule>
  </conditionalFormatting>
  <conditionalFormatting sqref="E21">
    <cfRule type="expression" dxfId="144" priority="295">
      <formula>IF(($G$282="Section Complete"),1,0)</formula>
    </cfRule>
  </conditionalFormatting>
  <conditionalFormatting sqref="E22">
    <cfRule type="expression" dxfId="143" priority="294">
      <formula>IF(($G$292="Section Complete"),1,0)</formula>
    </cfRule>
  </conditionalFormatting>
  <conditionalFormatting sqref="E23">
    <cfRule type="expression" dxfId="142" priority="293">
      <formula>IF(($G$304="Section Complete"),1,0)</formula>
    </cfRule>
  </conditionalFormatting>
  <conditionalFormatting sqref="E24">
    <cfRule type="expression" dxfId="141" priority="292">
      <formula>IF(($G$321="Section Complete"),1,0)</formula>
    </cfRule>
  </conditionalFormatting>
  <conditionalFormatting sqref="E107 E113 E122 E127 E133">
    <cfRule type="cellIs" dxfId="140" priority="411" operator="equal">
      <formula>"complete"</formula>
    </cfRule>
    <cfRule type="cellIs" dxfId="139" priority="412" operator="equal">
      <formula>"incomplete"</formula>
    </cfRule>
  </conditionalFormatting>
  <conditionalFormatting sqref="F94 F101 F137">
    <cfRule type="cellIs" dxfId="138" priority="413" operator="equal">
      <formula>"complete"</formula>
    </cfRule>
    <cfRule type="cellIs" dxfId="137" priority="414" operator="equal">
      <formula>"incomplete"</formula>
    </cfRule>
  </conditionalFormatting>
  <conditionalFormatting sqref="F155 F167">
    <cfRule type="cellIs" dxfId="136" priority="85" operator="equal">
      <formula>"complete"</formula>
    </cfRule>
    <cfRule type="cellIs" dxfId="135" priority="86" operator="equal">
      <formula>"incomplete"</formula>
    </cfRule>
  </conditionalFormatting>
  <conditionalFormatting sqref="F33:G34 F58:G59 F83:G89 F95:G100 F138:G146 F153:G154">
    <cfRule type="cellIs" dxfId="134" priority="33" operator="equal">
      <formula>"n/a"</formula>
    </cfRule>
    <cfRule type="cellIs" dxfId="133" priority="34" operator="equal">
      <formula>"na"</formula>
    </cfRule>
    <cfRule type="cellIs" dxfId="132" priority="35" operator="equal">
      <formula>"y"</formula>
    </cfRule>
    <cfRule type="cellIs" dxfId="131" priority="36" operator="equal">
      <formula>"n"</formula>
    </cfRule>
  </conditionalFormatting>
  <conditionalFormatting sqref="F36:G38 F40:G40 F108:G112 F123:G126 F128:G132 F134:G136 F182:G186 F195:G197 F199:G201 F206:G225 F227:G228 F230:G231 F233:G235 F237:G245 F250:G257 F259:G263 F265:G269 F271:G275 F289:G290 F306:G308 F323:G324 F326:G326 F91:G93 F102:G106 F284:G287">
    <cfRule type="cellIs" dxfId="130" priority="355" operator="equal">
      <formula>"n/a"</formula>
    </cfRule>
    <cfRule type="cellIs" dxfId="129" priority="356" operator="equal">
      <formula>"na"</formula>
    </cfRule>
  </conditionalFormatting>
  <conditionalFormatting sqref="F36:G38 F40:G40 F108:G112 F123:G126 F128:G132 F134:G136 F182:G186 F195:G197 F199:G201 F227:G228 F230:G231 F233:G235 F237:G245 F250:G257 F259:G263 F265:G269 F271:G275 F289:G290 F306:G308 F323:G324 F326:G326 F91:G93 F102:G106 F284:G287">
    <cfRule type="cellIs" dxfId="128" priority="409" operator="equal">
      <formula>"y"</formula>
    </cfRule>
    <cfRule type="cellIs" dxfId="127" priority="410" operator="equal">
      <formula>"n"</formula>
    </cfRule>
  </conditionalFormatting>
  <conditionalFormatting sqref="F44:G48">
    <cfRule type="cellIs" dxfId="126" priority="39" operator="equal">
      <formula>"n/a"</formula>
    </cfRule>
    <cfRule type="cellIs" dxfId="125" priority="40" operator="equal">
      <formula>"na"</formula>
    </cfRule>
    <cfRule type="cellIs" dxfId="124" priority="41" operator="equal">
      <formula>"y"</formula>
    </cfRule>
    <cfRule type="cellIs" dxfId="123" priority="42" operator="equal">
      <formula>"n"</formula>
    </cfRule>
  </conditionalFormatting>
  <conditionalFormatting sqref="F50:G51">
    <cfRule type="cellIs" dxfId="122" priority="164" operator="equal">
      <formula>"n/a"</formula>
    </cfRule>
    <cfRule type="cellIs" dxfId="121" priority="165" operator="equal">
      <formula>"na"</formula>
    </cfRule>
    <cfRule type="cellIs" dxfId="120" priority="166" operator="equal">
      <formula>"y"</formula>
    </cfRule>
    <cfRule type="cellIs" dxfId="119" priority="167" operator="equal">
      <formula>"n"</formula>
    </cfRule>
  </conditionalFormatting>
  <conditionalFormatting sqref="F53:G54">
    <cfRule type="cellIs" dxfId="118" priority="159" operator="equal">
      <formula>"n/a"</formula>
    </cfRule>
    <cfRule type="cellIs" dxfId="117" priority="160" operator="equal">
      <formula>"na"</formula>
    </cfRule>
    <cfRule type="cellIs" dxfId="116" priority="161" operator="equal">
      <formula>"y"</formula>
    </cfRule>
    <cfRule type="cellIs" dxfId="115" priority="162" operator="equal">
      <formula>"n"</formula>
    </cfRule>
  </conditionalFormatting>
  <conditionalFormatting sqref="F61:G66">
    <cfRule type="cellIs" dxfId="114" priority="324" operator="equal">
      <formula>"n/a"</formula>
    </cfRule>
    <cfRule type="cellIs" dxfId="113" priority="325" operator="equal">
      <formula>"na"</formula>
    </cfRule>
    <cfRule type="cellIs" dxfId="112" priority="326" operator="equal">
      <formula>"y"</formula>
    </cfRule>
    <cfRule type="cellIs" dxfId="111" priority="327" operator="equal">
      <formula>"n"</formula>
    </cfRule>
  </conditionalFormatting>
  <conditionalFormatting sqref="F68:G81">
    <cfRule type="cellIs" dxfId="110" priority="56" operator="equal">
      <formula>"n/a"</formula>
    </cfRule>
    <cfRule type="cellIs" dxfId="109" priority="57" operator="equal">
      <formula>"na"</formula>
    </cfRule>
    <cfRule type="cellIs" dxfId="108" priority="58" operator="equal">
      <formula>"y"</formula>
    </cfRule>
    <cfRule type="cellIs" dxfId="107" priority="59" operator="equal">
      <formula>"n"</formula>
    </cfRule>
  </conditionalFormatting>
  <conditionalFormatting sqref="F114:G121">
    <cfRule type="cellIs" dxfId="106" priority="249" operator="equal">
      <formula>"n/a"</formula>
    </cfRule>
    <cfRule type="cellIs" dxfId="105" priority="250" operator="equal">
      <formula>"na"</formula>
    </cfRule>
    <cfRule type="cellIs" dxfId="104" priority="251" operator="equal">
      <formula>"y"</formula>
    </cfRule>
    <cfRule type="cellIs" dxfId="103" priority="252" operator="equal">
      <formula>"n"</formula>
    </cfRule>
  </conditionalFormatting>
  <conditionalFormatting sqref="F148:G151">
    <cfRule type="cellIs" dxfId="102" priority="147" operator="equal">
      <formula>"n/a"</formula>
    </cfRule>
    <cfRule type="cellIs" dxfId="101" priority="148" operator="equal">
      <formula>"na"</formula>
    </cfRule>
    <cfRule type="cellIs" dxfId="100" priority="149" operator="equal">
      <formula>"y"</formula>
    </cfRule>
    <cfRule type="cellIs" dxfId="99" priority="150" operator="equal">
      <formula>"n"</formula>
    </cfRule>
  </conditionalFormatting>
  <conditionalFormatting sqref="F156:G156">
    <cfRule type="cellIs" dxfId="98" priority="111" operator="equal">
      <formula>"n"</formula>
    </cfRule>
  </conditionalFormatting>
  <conditionalFormatting sqref="F156:G166">
    <cfRule type="cellIs" dxfId="97" priority="96" operator="equal">
      <formula>"n/a"</formula>
    </cfRule>
    <cfRule type="cellIs" dxfId="96" priority="97" operator="equal">
      <formula>"na"</formula>
    </cfRule>
    <cfRule type="cellIs" dxfId="95" priority="98" operator="equal">
      <formula>"y"</formula>
    </cfRule>
  </conditionalFormatting>
  <conditionalFormatting sqref="F165:G166">
    <cfRule type="cellIs" dxfId="94" priority="99" operator="equal">
      <formula>"n"</formula>
    </cfRule>
  </conditionalFormatting>
  <conditionalFormatting sqref="F168:G168 F177:G177">
    <cfRule type="cellIs" dxfId="93" priority="104" operator="equal">
      <formula>"n"</formula>
    </cfRule>
  </conditionalFormatting>
  <conditionalFormatting sqref="F168:G177">
    <cfRule type="cellIs" dxfId="92" priority="101" operator="equal">
      <formula>"n/a"</formula>
    </cfRule>
    <cfRule type="cellIs" dxfId="91" priority="102" operator="equal">
      <formula>"na"</formula>
    </cfRule>
    <cfRule type="cellIs" dxfId="90" priority="103" operator="equal">
      <formula>"y"</formula>
    </cfRule>
  </conditionalFormatting>
  <conditionalFormatting sqref="F178:G178">
    <cfRule type="cellIs" dxfId="89" priority="28" operator="equal">
      <formula>"unsure"</formula>
    </cfRule>
    <cfRule type="cellIs" dxfId="88" priority="29" operator="equal">
      <formula>"confirmed"</formula>
    </cfRule>
    <cfRule type="cellIs" dxfId="87" priority="30" operator="equal">
      <formula>"not confirmed"</formula>
    </cfRule>
  </conditionalFormatting>
  <conditionalFormatting sqref="F188:G193">
    <cfRule type="cellIs" dxfId="86" priority="6" operator="equal">
      <formula>"n/a"</formula>
    </cfRule>
    <cfRule type="cellIs" dxfId="85" priority="7" operator="equal">
      <formula>"na"</formula>
    </cfRule>
    <cfRule type="cellIs" dxfId="84" priority="8" operator="equal">
      <formula>"y"</formula>
    </cfRule>
    <cfRule type="cellIs" dxfId="83" priority="9" operator="equal">
      <formula>"n"</formula>
    </cfRule>
  </conditionalFormatting>
  <conditionalFormatting sqref="F202:G202">
    <cfRule type="cellIs" dxfId="82" priority="22" operator="equal">
      <formula>"unsure"</formula>
    </cfRule>
    <cfRule type="cellIs" dxfId="81" priority="23" operator="equal">
      <formula>"confirmed"</formula>
    </cfRule>
    <cfRule type="cellIs" dxfId="80" priority="24" operator="equal">
      <formula>"not confirmed"</formula>
    </cfRule>
  </conditionalFormatting>
  <conditionalFormatting sqref="F206:G225">
    <cfRule type="cellIs" dxfId="79" priority="359" operator="equal">
      <formula>"y"</formula>
    </cfRule>
    <cfRule type="cellIs" dxfId="78" priority="360" operator="equal">
      <formula>"n"</formula>
    </cfRule>
  </conditionalFormatting>
  <conditionalFormatting sqref="F246:G246">
    <cfRule type="cellIs" dxfId="77" priority="17" operator="equal">
      <formula>"unsure"</formula>
    </cfRule>
    <cfRule type="cellIs" dxfId="76" priority="18" operator="equal">
      <formula>"confirmed"</formula>
    </cfRule>
    <cfRule type="cellIs" dxfId="75" priority="19" operator="equal">
      <formula>"not confirmed"</formula>
    </cfRule>
  </conditionalFormatting>
  <conditionalFormatting sqref="F276:G276">
    <cfRule type="cellIs" dxfId="74" priority="11" operator="equal">
      <formula>"unsure"</formula>
    </cfRule>
    <cfRule type="cellIs" dxfId="73" priority="12" operator="equal">
      <formula>"confirmed"</formula>
    </cfRule>
    <cfRule type="cellIs" dxfId="72" priority="13" operator="equal">
      <formula>"not confirmed"</formula>
    </cfRule>
  </conditionalFormatting>
  <conditionalFormatting sqref="F294:G302">
    <cfRule type="cellIs" dxfId="71" priority="273" operator="equal">
      <formula>"n/a"</formula>
    </cfRule>
    <cfRule type="cellIs" dxfId="70" priority="274" operator="equal">
      <formula>"na"</formula>
    </cfRule>
    <cfRule type="cellIs" dxfId="69" priority="275" operator="equal">
      <formula>"y"</formula>
    </cfRule>
    <cfRule type="cellIs" dxfId="68" priority="276" operator="equal">
      <formula>"n"</formula>
    </cfRule>
  </conditionalFormatting>
  <conditionalFormatting sqref="F310:G315">
    <cfRule type="cellIs" dxfId="67" priority="269" operator="equal">
      <formula>"n/a"</formula>
    </cfRule>
    <cfRule type="cellIs" dxfId="66" priority="270" operator="equal">
      <formula>"na"</formula>
    </cfRule>
    <cfRule type="cellIs" dxfId="65" priority="271" operator="equal">
      <formula>"y"</formula>
    </cfRule>
    <cfRule type="cellIs" dxfId="64" priority="272" operator="equal">
      <formula>"n"</formula>
    </cfRule>
  </conditionalFormatting>
  <conditionalFormatting sqref="F317:G319">
    <cfRule type="cellIs" dxfId="63" priority="178" operator="equal">
      <formula>"n/a"</formula>
    </cfRule>
    <cfRule type="cellIs" dxfId="62" priority="179" operator="equal">
      <formula>"na"</formula>
    </cfRule>
    <cfRule type="cellIs" dxfId="61" priority="180" operator="equal">
      <formula>"y"</formula>
    </cfRule>
    <cfRule type="cellIs" dxfId="60" priority="181" operator="equal">
      <formula>"n"</formula>
    </cfRule>
  </conditionalFormatting>
  <conditionalFormatting sqref="G31 G42 G56 G180 G204 G248 G282 G292 G304 G321">
    <cfRule type="cellIs" dxfId="59" priority="291" operator="equal">
      <formula>"Section Complete"</formula>
    </cfRule>
    <cfRule type="cellIs" dxfId="58" priority="417" operator="equal">
      <formula>"Section Incomplete"</formula>
    </cfRule>
    <cfRule type="cellIs" dxfId="57" priority="418" operator="equal">
      <formula>"Section N/A"</formula>
    </cfRule>
  </conditionalFormatting>
  <conditionalFormatting sqref="G32 G35 G43 G49 G52 G57 G60 G67 G82 G90 G147 G181 G187 G194 G198 G205 G226 G229 G232 G249 G258 G264 G270 G283 G288 G293 G305 G309 G316 G322 G325">
    <cfRule type="cellIs" dxfId="56" priority="415" operator="equal">
      <formula>"complete"</formula>
    </cfRule>
    <cfRule type="cellIs" dxfId="55" priority="416" operator="equal">
      <formula>"incomplete"</formula>
    </cfRule>
  </conditionalFormatting>
  <conditionalFormatting sqref="G39">
    <cfRule type="cellIs" dxfId="54" priority="395" operator="equal">
      <formula>"complete"</formula>
    </cfRule>
    <cfRule type="cellIs" dxfId="53" priority="396" operator="equal">
      <formula>"incomplete"</formula>
    </cfRule>
  </conditionalFormatting>
  <conditionalFormatting sqref="G152">
    <cfRule type="cellIs" dxfId="52" priority="137" operator="equal">
      <formula>"complete"</formula>
    </cfRule>
    <cfRule type="cellIs" dxfId="51" priority="138" operator="equal">
      <formula>"incomplete"</formula>
    </cfRule>
  </conditionalFormatting>
  <conditionalFormatting sqref="G236">
    <cfRule type="cellIs" dxfId="50" priority="401" operator="equal">
      <formula>"complete"</formula>
    </cfRule>
    <cfRule type="cellIs" dxfId="49" priority="402" operator="equal">
      <formula>"incomplete"</formula>
    </cfRule>
  </conditionalFormatting>
  <conditionalFormatting sqref="H14">
    <cfRule type="expression" dxfId="48" priority="316">
      <formula>IF(($I$14&gt;0),1,0)</formula>
    </cfRule>
  </conditionalFormatting>
  <conditionalFormatting sqref="H14:H26">
    <cfRule type="cellIs" dxfId="47" priority="317" operator="equal">
      <formula>"Y"</formula>
    </cfRule>
  </conditionalFormatting>
  <conditionalFormatting sqref="H15">
    <cfRule type="expression" dxfId="46" priority="315">
      <formula>IF(($I$15&gt;0),1,0)</formula>
    </cfRule>
  </conditionalFormatting>
  <conditionalFormatting sqref="H16">
    <cfRule type="expression" dxfId="45" priority="314">
      <formula>IF(($I$16&gt;0),1,0)</formula>
    </cfRule>
  </conditionalFormatting>
  <conditionalFormatting sqref="H17">
    <cfRule type="expression" dxfId="44" priority="313">
      <formula>IF(($I$17&gt;0),1,0)</formula>
    </cfRule>
  </conditionalFormatting>
  <conditionalFormatting sqref="H18">
    <cfRule type="expression" dxfId="43" priority="312">
      <formula>IF(($I$18&gt;0),1,0)</formula>
    </cfRule>
  </conditionalFormatting>
  <conditionalFormatting sqref="H19">
    <cfRule type="expression" dxfId="42" priority="311">
      <formula>IF(($I$19&gt;0),1,0)</formula>
    </cfRule>
  </conditionalFormatting>
  <conditionalFormatting sqref="H20">
    <cfRule type="expression" dxfId="41" priority="310">
      <formula>IF(($I$20&gt;0),1,0)</formula>
    </cfRule>
  </conditionalFormatting>
  <conditionalFormatting sqref="H21">
    <cfRule type="expression" dxfId="40" priority="309">
      <formula>IF(($I$21&gt;0),1,0)</formula>
    </cfRule>
  </conditionalFormatting>
  <conditionalFormatting sqref="H22">
    <cfRule type="expression" dxfId="39" priority="307">
      <formula>IF(($I$22&gt;0),1,0)</formula>
    </cfRule>
  </conditionalFormatting>
  <conditionalFormatting sqref="H23">
    <cfRule type="expression" dxfId="38" priority="305">
      <formula>IF(($I$23&gt;0),1,0)</formula>
    </cfRule>
  </conditionalFormatting>
  <conditionalFormatting sqref="H24">
    <cfRule type="expression" dxfId="37" priority="306">
      <formula>IF(($I$24&gt;0),1,0)</formula>
    </cfRule>
  </conditionalFormatting>
  <conditionalFormatting sqref="H25:H26">
    <cfRule type="expression" dxfId="36" priority="308">
      <formula>IF(($I$25&gt;0),1,0)</formula>
    </cfRule>
  </conditionalFormatting>
  <conditionalFormatting sqref="I14:I26">
    <cfRule type="cellIs" dxfId="35" priority="322" operator="greaterThan">
      <formula>0</formula>
    </cfRule>
  </conditionalFormatting>
  <conditionalFormatting sqref="L26:L27">
    <cfRule type="expression" dxfId="34" priority="214">
      <formula>IF($E$14="Y",1,0)</formula>
    </cfRule>
  </conditionalFormatting>
  <conditionalFormatting sqref="L165:M165">
    <cfRule type="cellIs" dxfId="33" priority="87" operator="lessThan">
      <formula>10</formula>
    </cfRule>
    <cfRule type="cellIs" dxfId="32" priority="88" operator="greaterThan">
      <formula>10</formula>
    </cfRule>
  </conditionalFormatting>
  <conditionalFormatting sqref="M15">
    <cfRule type="cellIs" dxfId="31" priority="287" operator="greaterThan">
      <formula>0</formula>
    </cfRule>
    <cfRule type="expression" dxfId="30" priority="288">
      <formula>IF((OR($L$15="none",$L$15="")),0,1)</formula>
    </cfRule>
  </conditionalFormatting>
  <conditionalFormatting sqref="M16">
    <cfRule type="expression" dxfId="29" priority="228">
      <formula>IF((OR($L$16="none",$L$16="")),0,1)</formula>
    </cfRule>
  </conditionalFormatting>
  <conditionalFormatting sqref="M16:M19">
    <cfRule type="cellIs" dxfId="28" priority="219" operator="greaterThan">
      <formula>0</formula>
    </cfRule>
  </conditionalFormatting>
  <conditionalFormatting sqref="M17">
    <cfRule type="expression" dxfId="27" priority="224">
      <formula>IF((OR($L$17="none",$L$17="")),0,1)</formula>
    </cfRule>
  </conditionalFormatting>
  <conditionalFormatting sqref="M18">
    <cfRule type="expression" dxfId="26" priority="222">
      <formula>IF((OR($L$18="none",$L$18="")),0,1)</formula>
    </cfRule>
  </conditionalFormatting>
  <conditionalFormatting sqref="M21:M27">
    <cfRule type="cellIs" dxfId="25" priority="209" operator="greaterThan">
      <formula>0</formula>
    </cfRule>
  </conditionalFormatting>
  <conditionalFormatting sqref="M25">
    <cfRule type="expression" dxfId="24" priority="212">
      <formula>IF((OR($L$25="none",$L$25="")),0,1)</formula>
    </cfRule>
  </conditionalFormatting>
  <conditionalFormatting sqref="M26:M27">
    <cfRule type="cellIs" dxfId="23" priority="37" operator="equal">
      <formula>"-"</formula>
    </cfRule>
    <cfRule type="expression" dxfId="22" priority="210">
      <formula>IF($E$14="Y",1,0)</formula>
    </cfRule>
  </conditionalFormatting>
  <conditionalFormatting sqref="N16">
    <cfRule type="containsText" dxfId="21" priority="54" operator="containsText" text="inflections:">
      <formula>NOT(ISERROR(SEARCH("inflections:",N16)))</formula>
    </cfRule>
  </conditionalFormatting>
  <conditionalFormatting sqref="N22">
    <cfRule type="containsText" dxfId="20" priority="53" operator="containsText" text="pitch weight:">
      <formula>NOT(ISERROR(SEARCH("pitch weight:",N22)))</formula>
    </cfRule>
  </conditionalFormatting>
  <conditionalFormatting sqref="N68 P68:Q68 R68:R69 N69:Q69 S69 N178 R201 T237:T242 N247:Q275 N32:Q67 N71:Q177 N203:Q245">
    <cfRule type="cellIs" dxfId="19" priority="323" operator="equal">
      <formula>"user input"</formula>
    </cfRule>
  </conditionalFormatting>
  <conditionalFormatting sqref="N202">
    <cfRule type="cellIs" dxfId="18" priority="26" operator="equal">
      <formula>"user input"</formula>
    </cfRule>
  </conditionalFormatting>
  <conditionalFormatting sqref="N246">
    <cfRule type="cellIs" dxfId="17" priority="20" operator="equal">
      <formula>"user input"</formula>
    </cfRule>
  </conditionalFormatting>
  <conditionalFormatting sqref="N276">
    <cfRule type="cellIs" dxfId="16" priority="14" operator="equal">
      <formula>"user input"</formula>
    </cfRule>
  </conditionalFormatting>
  <conditionalFormatting sqref="N179:Q201">
    <cfRule type="cellIs" dxfId="15" priority="5" operator="equal">
      <formula>"user input"</formula>
    </cfRule>
  </conditionalFormatting>
  <conditionalFormatting sqref="N277:Q277">
    <cfRule type="cellIs" dxfId="14" priority="15" operator="equal">
      <formula>"user input"</formula>
    </cfRule>
  </conditionalFormatting>
  <conditionalFormatting sqref="N70:R70 R71">
    <cfRule type="cellIs" dxfId="13" priority="60" operator="equal">
      <formula>"user input"</formula>
    </cfRule>
  </conditionalFormatting>
  <conditionalFormatting sqref="P178:Q178">
    <cfRule type="cellIs" dxfId="12" priority="27" operator="equal">
      <formula>"user input"</formula>
    </cfRule>
  </conditionalFormatting>
  <conditionalFormatting sqref="P202:Q202">
    <cfRule type="cellIs" dxfId="11" priority="21" operator="equal">
      <formula>"user input"</formula>
    </cfRule>
  </conditionalFormatting>
  <conditionalFormatting sqref="P246:Q246">
    <cfRule type="cellIs" dxfId="10" priority="16" operator="equal">
      <formula>"user input"</formula>
    </cfRule>
  </conditionalFormatting>
  <conditionalFormatting sqref="P276:Q276">
    <cfRule type="cellIs" dxfId="9" priority="10" operator="equal">
      <formula>"user input"</formula>
    </cfRule>
  </conditionalFormatting>
  <conditionalFormatting sqref="L24:L25 K25">
    <cfRule type="expression" dxfId="4" priority="419">
      <formula>IF(ISNUMBER(SEARCH("ext",$L$19)),1,0)</formula>
    </cfRule>
  </conditionalFormatting>
  <conditionalFormatting sqref="M19">
    <cfRule type="expression" dxfId="3" priority="421">
      <formula>IF((OR(#REF!="none",#REF!="N",,#REF!="")),0,1)</formula>
    </cfRule>
  </conditionalFormatting>
  <conditionalFormatting sqref="M21:M23">
    <cfRule type="expression" dxfId="2" priority="422">
      <formula>IF((OR($L$19="none",$L$19="")),0,1)</formula>
    </cfRule>
  </conditionalFormatting>
  <conditionalFormatting sqref="M24">
    <cfRule type="expression" dxfId="1" priority="423">
      <formula>IF(ISNUMBER(SEARCH("ext",L19)),IF((OR($L$19="none",$L$19="")),0,1),0)</formula>
    </cfRule>
  </conditionalFormatting>
  <conditionalFormatting sqref="E20">
    <cfRule type="expression" dxfId="0" priority="424">
      <formula>IF((#REF!="Section Complete"),1,0)</formula>
    </cfRule>
  </conditionalFormatting>
  <hyperlinks>
    <hyperlink ref="C62" r:id="rId1" xr:uid="{00000000-0004-0000-0000-000000000000}"/>
    <hyperlink ref="C138" r:id="rId2" xr:uid="{00000000-0004-0000-0000-000002000000}"/>
    <hyperlink ref="C66" r:id="rId3" xr:uid="{00000000-0004-0000-0000-000003000000}"/>
    <hyperlink ref="D13" location="Checklist!D33" display="Office" xr:uid="{14E52462-9C49-4F64-9AD0-90844777E917}"/>
    <hyperlink ref="D20" location="Checklist!D337" display="Office " xr:uid="{1DDED72F-77A9-4184-93FD-7BC790DD729C}"/>
    <hyperlink ref="D14" location="Checklist!C45" display="Mid Life Upgrade / Major Component replacement" xr:uid="{4730E2B4-E039-4163-9DEF-AB3535F5C32D}"/>
    <hyperlink ref="D15" location="Checklist!C53" display="Lab" xr:uid="{3494C13F-4493-44C8-AFFB-9ED6E62DF981}"/>
    <hyperlink ref="D16" location="Checklist!C199" display="Tank" xr:uid="{EDD934C7-4D92-4129-805B-DCFB6D309BD0}"/>
    <hyperlink ref="D17" location="Checklist!C255" display="Final Seal and FCP" xr:uid="{88A80711-99B3-4E5D-BD81-62925561A3FC}"/>
    <hyperlink ref="D18" location="Checklist!C304" display="Prep for shipment and deployment" xr:uid="{CDCADABE-4B83-49AC-9C26-FF2AD0C49935}"/>
    <hyperlink ref="C318" r:id="rId4" xr:uid="{129A34C2-A1AB-4E75-8797-A81FB7D76A0D}"/>
  </hyperlinks>
  <pageMargins left="0.7" right="0.7" top="0.75" bottom="0.75" header="0.3" footer="0.3"/>
  <pageSetup paperSize="9" orientation="portrait" r:id="rId5"/>
  <drawing r:id="rId6"/>
  <extLst>
    <ext xmlns:x14="http://schemas.microsoft.com/office/spreadsheetml/2009/9/main" uri="{78C0D931-6437-407d-A8EE-F0AAD7539E65}">
      <x14:conditionalFormattings>
        <x14:conditionalFormatting xmlns:xm="http://schemas.microsoft.com/office/excel/2006/main">
          <x14:cfRule type="dataBar" id="{E51D7DD2-60AD-4F15-A72C-B020C4954FB4}">
            <x14:dataBar minLength="0" maxLength="100" border="1" gradient="0" negativeBarBorderColorSameAsPositive="0">
              <x14:cfvo type="num">
                <xm:f>0</xm:f>
              </x14:cfvo>
              <x14:cfvo type="num">
                <xm:f>1</xm:f>
              </x14:cfvo>
              <x14:borderColor theme="9" tint="-0.499984740745262"/>
              <x14:negativeFillColor rgb="FFFF0000"/>
              <x14:negativeBorderColor rgb="FFFF0000"/>
              <x14:axisColor rgb="FF000000"/>
            </x14:dataBar>
          </x14:cfRule>
          <xm:sqref>C13:C18 C20:C24</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constants!$A$20:$A$22</xm:f>
          </x14:formula1>
          <xm:sqref>L15</xm:sqref>
        </x14:dataValidation>
        <x14:dataValidation type="list" allowBlank="1" showInputMessage="1" showErrorMessage="1" xr:uid="{00000000-0002-0000-0000-000001000000}">
          <x14:formula1>
            <xm:f>constants!$A$25:$A$26</xm:f>
          </x14:formula1>
          <xm:sqref>L14</xm:sqref>
        </x14:dataValidation>
        <x14:dataValidation type="list" allowBlank="1" showInputMessage="1" showErrorMessage="1" xr:uid="{00000000-0002-0000-0000-000002000000}">
          <x14:formula1>
            <xm:f>constants!$A$4:$A$9</xm:f>
          </x14:formula1>
          <xm:sqref>L19</xm:sqref>
        </x14:dataValidation>
        <x14:dataValidation type="list" allowBlank="1" showInputMessage="1" showErrorMessage="1" xr:uid="{6294C2CB-4745-4D65-B43A-F6BBD7E4C13A}">
          <x14:formula1>
            <xm:f>constants!$A$27:$A$30</xm:f>
          </x14:formula1>
          <xm:sqref>H14:H26 E20:E24 E13:E18</xm:sqref>
        </x14:dataValidation>
        <x14:dataValidation type="list" allowBlank="1" showInputMessage="1" showErrorMessage="1" xr:uid="{C975C831-613B-4987-9C80-97F7CBE7AA03}">
          <x14:formula1>
            <xm:f>constants!$A$27:$A$31</xm:f>
          </x14:formula1>
          <xm:sqref>F33:G34 F36:G38 F40:G40 F68:G81 F50:G51 F61:G66 F326:G326 F108:G112 F114:G121 F123:G126 F128:G132 F134:G136 F156:G166 F53:G54 F168:G177 F182:G186 F206:G225 F230:G231 F233:G235 F199:G201 F250:G257 F259:G263 F265:G269 F289:G290 F294:G302 F306:G308 F310:G315 F323:G324 F148:G151 F227:G228 F271:G275 F195:G197 F44:G48 F188:G193 F237:G245 F58:G59 F83:G89 F91:G93 F95:G100 F102:G106 F138:G146 F153:G154 F284:G287 F317:G319</xm:sqref>
        </x14:dataValidation>
        <x14:dataValidation type="list" allowBlank="1" showInputMessage="1" showErrorMessage="1" xr:uid="{5D727C67-26D9-45F9-A89C-B5910D11A26E}">
          <x14:formula1>
            <xm:f>constants!$C$25:$C$27</xm:f>
          </x14:formula1>
          <xm:sqref>L18</xm:sqref>
        </x14:dataValidation>
        <x14:dataValidation type="list" allowBlank="1" showInputMessage="1" showErrorMessage="1" xr:uid="{6443C17A-056C-4440-8581-1CD2BA2621C0}">
          <x14:formula1>
            <xm:f>constants!$C$20:$C$21</xm:f>
          </x14:formula1>
          <xm:sqref>L17</xm:sqref>
        </x14:dataValidation>
        <x14:dataValidation type="list" allowBlank="1" showInputMessage="1" showErrorMessage="1" xr:uid="{F41EB721-1F7F-4DE7-AD34-6B44121E72AB}">
          <x14:formula1>
            <xm:f>constants!$B$28:$B$30</xm:f>
          </x14:formula1>
          <xm:sqref>F178:G178 F202:G202 F246:G246 F276:G276</xm:sqref>
        </x14:dataValidation>
        <x14:dataValidation type="list" allowBlank="1" showInputMessage="1" showErrorMessage="1" xr:uid="{00000000-0002-0000-0000-000003000000}">
          <x14:formula1>
            <xm:f>constants!$A13:$A$17</xm:f>
          </x14:formula1>
          <xm:sqref>L16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
  <sheetViews>
    <sheetView workbookViewId="0">
      <selection activeCell="C17" sqref="C17"/>
    </sheetView>
  </sheetViews>
  <sheetFormatPr defaultRowHeight="15" x14ac:dyDescent="0.25"/>
  <cols>
    <col min="1" max="1" width="18.7109375" customWidth="1"/>
    <col min="2" max="2" width="16.140625" customWidth="1"/>
    <col min="3" max="3" width="70.28515625" style="77" customWidth="1"/>
  </cols>
  <sheetData>
    <row r="1" spans="1:18" x14ac:dyDescent="0.25">
      <c r="A1" s="78" t="s">
        <v>361</v>
      </c>
      <c r="B1" s="78" t="s">
        <v>362</v>
      </c>
      <c r="C1" s="81" t="s">
        <v>363</v>
      </c>
    </row>
    <row r="2" spans="1:18" s="77" customFormat="1" ht="30" customHeight="1" x14ac:dyDescent="0.25">
      <c r="A2" s="80">
        <v>1.1000000000000001</v>
      </c>
      <c r="B2" s="80" t="s">
        <v>364</v>
      </c>
      <c r="C2" s="83" t="s">
        <v>357</v>
      </c>
      <c r="E2" s="77" t="s">
        <v>365</v>
      </c>
    </row>
    <row r="3" spans="1:18" ht="30" customHeight="1" x14ac:dyDescent="0.25">
      <c r="A3" s="79">
        <v>1.2</v>
      </c>
      <c r="B3" s="82" t="s">
        <v>358</v>
      </c>
      <c r="C3" s="85" t="s">
        <v>359</v>
      </c>
    </row>
    <row r="4" spans="1:18" ht="30" customHeight="1" x14ac:dyDescent="0.25">
      <c r="A4" s="79">
        <v>1.3</v>
      </c>
      <c r="B4" s="82" t="s">
        <v>358</v>
      </c>
      <c r="C4" s="85" t="s">
        <v>360</v>
      </c>
      <c r="E4" t="s">
        <v>366</v>
      </c>
      <c r="M4" s="65" t="s">
        <v>367</v>
      </c>
      <c r="R4" t="s">
        <v>25</v>
      </c>
    </row>
    <row r="5" spans="1:18" ht="30" customHeight="1" x14ac:dyDescent="0.25">
      <c r="A5" s="79">
        <v>1.4</v>
      </c>
      <c r="B5" s="79" t="s">
        <v>358</v>
      </c>
      <c r="C5" s="84" t="s">
        <v>368</v>
      </c>
      <c r="E5" s="71"/>
      <c r="F5" s="68"/>
      <c r="G5" s="67"/>
      <c r="R5" t="s">
        <v>32</v>
      </c>
    </row>
    <row r="6" spans="1:18" ht="30" customHeight="1" x14ac:dyDescent="0.25">
      <c r="A6" s="79">
        <v>1.5</v>
      </c>
      <c r="B6" s="79" t="s">
        <v>364</v>
      </c>
      <c r="C6" s="80" t="s">
        <v>369</v>
      </c>
      <c r="E6" s="68"/>
      <c r="F6" s="68"/>
      <c r="G6" s="67"/>
      <c r="R6" t="s">
        <v>40</v>
      </c>
    </row>
    <row r="7" spans="1:18" ht="30" customHeight="1" x14ac:dyDescent="0.25">
      <c r="A7" s="79">
        <v>1.6</v>
      </c>
      <c r="B7" s="79" t="s">
        <v>364</v>
      </c>
      <c r="C7" s="80" t="s">
        <v>370</v>
      </c>
      <c r="E7" s="68"/>
      <c r="F7" s="68"/>
      <c r="G7" s="67"/>
      <c r="R7" t="s">
        <v>44</v>
      </c>
    </row>
    <row r="8" spans="1:18" ht="30" customHeight="1" x14ac:dyDescent="0.25">
      <c r="A8" s="79">
        <v>1.7</v>
      </c>
      <c r="B8" s="79" t="s">
        <v>358</v>
      </c>
      <c r="C8" s="80" t="s">
        <v>371</v>
      </c>
      <c r="R8" t="s">
        <v>48</v>
      </c>
    </row>
    <row r="9" spans="1:18" ht="30" customHeight="1" x14ac:dyDescent="0.25">
      <c r="A9" s="79">
        <v>1.7</v>
      </c>
      <c r="B9" s="79" t="s">
        <v>372</v>
      </c>
      <c r="C9" s="80" t="s">
        <v>373</v>
      </c>
      <c r="R9" t="s">
        <v>52</v>
      </c>
    </row>
    <row r="10" spans="1:18" ht="30" customHeight="1" x14ac:dyDescent="0.25">
      <c r="A10" s="79">
        <v>1.8</v>
      </c>
      <c r="B10" s="79" t="s">
        <v>358</v>
      </c>
      <c r="C10" s="80" t="s">
        <v>374</v>
      </c>
      <c r="R10" t="s">
        <v>56</v>
      </c>
    </row>
    <row r="11" spans="1:18" ht="30" customHeight="1" x14ac:dyDescent="0.25">
      <c r="A11" s="79">
        <v>1.9</v>
      </c>
      <c r="B11" s="79" t="s">
        <v>358</v>
      </c>
      <c r="C11" s="80" t="s">
        <v>375</v>
      </c>
    </row>
    <row r="12" spans="1:18" ht="30" customHeight="1" x14ac:dyDescent="0.25">
      <c r="A12" s="114" t="s">
        <v>376</v>
      </c>
      <c r="B12" s="79" t="s">
        <v>358</v>
      </c>
      <c r="C12" s="80" t="s">
        <v>377</v>
      </c>
    </row>
    <row r="13" spans="1:18" ht="30" customHeight="1" x14ac:dyDescent="0.25">
      <c r="A13" s="79">
        <v>1.1100000000000001</v>
      </c>
      <c r="B13" s="79" t="s">
        <v>358</v>
      </c>
      <c r="C13" s="80" t="s">
        <v>378</v>
      </c>
    </row>
    <row r="14" spans="1:18" ht="30" customHeight="1" x14ac:dyDescent="0.25">
      <c r="A14" s="79">
        <v>2</v>
      </c>
      <c r="B14" s="79" t="s">
        <v>358</v>
      </c>
      <c r="C14" s="80" t="s">
        <v>379</v>
      </c>
    </row>
    <row r="15" spans="1:18" ht="30" customHeight="1" x14ac:dyDescent="0.25">
      <c r="A15" s="79">
        <v>2.1</v>
      </c>
      <c r="B15" s="79" t="s">
        <v>358</v>
      </c>
      <c r="C15" s="80" t="s">
        <v>380</v>
      </c>
    </row>
    <row r="16" spans="1:18" ht="30" customHeight="1" x14ac:dyDescent="0.25">
      <c r="A16" s="79">
        <v>2.2000000000000002</v>
      </c>
      <c r="B16" s="79" t="s">
        <v>358</v>
      </c>
      <c r="C16" s="80" t="s">
        <v>381</v>
      </c>
    </row>
    <row r="17" spans="1:3" ht="30" customHeight="1" x14ac:dyDescent="0.25">
      <c r="A17" s="79">
        <v>2.2999999999999998</v>
      </c>
      <c r="B17" s="79" t="s">
        <v>358</v>
      </c>
      <c r="C17" s="80" t="s">
        <v>443</v>
      </c>
    </row>
    <row r="18" spans="1:3" ht="30" customHeight="1" x14ac:dyDescent="0.25">
      <c r="A18" s="79"/>
      <c r="B18" s="79"/>
      <c r="C18" s="80"/>
    </row>
    <row r="19" spans="1:3" ht="30" customHeight="1" x14ac:dyDescent="0.25">
      <c r="A19" s="79"/>
      <c r="B19" s="79"/>
      <c r="C19" s="80"/>
    </row>
    <row r="20" spans="1:3" ht="30" customHeight="1" x14ac:dyDescent="0.25">
      <c r="A20" s="79"/>
      <c r="B20" s="79"/>
      <c r="C20" s="80"/>
    </row>
    <row r="21" spans="1:3" ht="30" customHeight="1" x14ac:dyDescent="0.25">
      <c r="A21" s="79"/>
      <c r="B21" s="79"/>
      <c r="C21" s="80"/>
    </row>
    <row r="22" spans="1:3" ht="30" customHeight="1" x14ac:dyDescent="0.25">
      <c r="A22" s="79"/>
      <c r="B22" s="79"/>
      <c r="C22" s="80"/>
    </row>
    <row r="23" spans="1:3" ht="30" customHeight="1" x14ac:dyDescent="0.25">
      <c r="A23" s="79"/>
      <c r="B23" s="79"/>
      <c r="C23" s="80"/>
    </row>
    <row r="24" spans="1:3" ht="30" customHeight="1" x14ac:dyDescent="0.25">
      <c r="A24" s="79"/>
      <c r="B24" s="79"/>
      <c r="C24" s="80"/>
    </row>
    <row r="25" spans="1:3" ht="30" customHeight="1" x14ac:dyDescent="0.25">
      <c r="A25" s="79"/>
      <c r="B25" s="79"/>
      <c r="C25" s="80"/>
    </row>
    <row r="26" spans="1:3" ht="30" customHeight="1" x14ac:dyDescent="0.25">
      <c r="A26" s="79"/>
      <c r="B26" s="79"/>
      <c r="C26" s="80"/>
    </row>
    <row r="27" spans="1:3" ht="30" customHeight="1" x14ac:dyDescent="0.25">
      <c r="A27" s="79"/>
      <c r="B27" s="79"/>
      <c r="C27" s="80"/>
    </row>
    <row r="28" spans="1:3" ht="30" customHeight="1" x14ac:dyDescent="0.25">
      <c r="A28" s="79"/>
      <c r="B28" s="79"/>
      <c r="C28" s="80"/>
    </row>
    <row r="29" spans="1:3" ht="30" customHeight="1" x14ac:dyDescent="0.25">
      <c r="A29" s="79"/>
      <c r="B29" s="79"/>
      <c r="C29" s="80"/>
    </row>
    <row r="30" spans="1:3" ht="30" customHeight="1" x14ac:dyDescent="0.25">
      <c r="A30" s="79"/>
      <c r="B30" s="79"/>
      <c r="C30" s="80"/>
    </row>
    <row r="31" spans="1:3" ht="30" customHeight="1" x14ac:dyDescent="0.25">
      <c r="A31" s="79"/>
      <c r="B31" s="79"/>
      <c r="C31" s="80"/>
    </row>
    <row r="32" spans="1:3" ht="30" customHeight="1" x14ac:dyDescent="0.25">
      <c r="A32" s="79"/>
      <c r="B32" s="79"/>
      <c r="C32" s="80"/>
    </row>
    <row r="33" spans="1:3" ht="30" customHeight="1" x14ac:dyDescent="0.25">
      <c r="A33" s="79"/>
      <c r="B33" s="79"/>
      <c r="C33" s="80"/>
    </row>
    <row r="34" spans="1:3" ht="30" customHeight="1" x14ac:dyDescent="0.25">
      <c r="A34" s="79"/>
      <c r="B34" s="79"/>
      <c r="C34" s="80"/>
    </row>
    <row r="35" spans="1:3" ht="30" customHeight="1" x14ac:dyDescent="0.25">
      <c r="A35" s="79"/>
      <c r="B35" s="79"/>
      <c r="C35" s="80"/>
    </row>
    <row r="36" spans="1:3" ht="30" customHeight="1" x14ac:dyDescent="0.25">
      <c r="A36" s="79"/>
      <c r="B36" s="79"/>
      <c r="C36" s="80"/>
    </row>
    <row r="37" spans="1:3" ht="30" customHeight="1" x14ac:dyDescent="0.25">
      <c r="A37" s="79"/>
      <c r="B37" s="79"/>
      <c r="C37" s="80"/>
    </row>
    <row r="38" spans="1:3" ht="30" customHeight="1" x14ac:dyDescent="0.25">
      <c r="A38" s="79"/>
      <c r="B38" s="79"/>
      <c r="C38" s="80"/>
    </row>
    <row r="39" spans="1:3" ht="30" customHeight="1" x14ac:dyDescent="0.25">
      <c r="A39" s="79"/>
      <c r="B39" s="79"/>
      <c r="C39" s="80"/>
    </row>
    <row r="40" spans="1:3" ht="30" customHeight="1" x14ac:dyDescent="0.25">
      <c r="A40" s="79"/>
      <c r="B40" s="79"/>
      <c r="C40" s="80"/>
    </row>
    <row r="41" spans="1:3" ht="30" customHeight="1" x14ac:dyDescent="0.25">
      <c r="A41" s="79"/>
      <c r="B41" s="79"/>
      <c r="C41" s="80"/>
    </row>
    <row r="42" spans="1:3" ht="30" customHeight="1" x14ac:dyDescent="0.25">
      <c r="A42" s="79"/>
      <c r="B42" s="79"/>
      <c r="C42" s="80"/>
    </row>
    <row r="43" spans="1:3" ht="30" customHeight="1" x14ac:dyDescent="0.25">
      <c r="A43" s="79"/>
      <c r="B43" s="79"/>
      <c r="C43" s="80"/>
    </row>
    <row r="44" spans="1:3" ht="30" customHeight="1" x14ac:dyDescent="0.25">
      <c r="A44" s="79"/>
      <c r="B44" s="79"/>
      <c r="C44" s="80"/>
    </row>
    <row r="45" spans="1:3" ht="30" customHeight="1" x14ac:dyDescent="0.25">
      <c r="A45" s="79"/>
      <c r="B45" s="79"/>
      <c r="C45" s="80"/>
    </row>
    <row r="46" spans="1:3" ht="30" customHeight="1" x14ac:dyDescent="0.25">
      <c r="A46" s="79"/>
      <c r="B46" s="79"/>
      <c r="C46" s="8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60"/>
  <sheetViews>
    <sheetView workbookViewId="0">
      <selection activeCell="B31" sqref="B31"/>
    </sheetView>
  </sheetViews>
  <sheetFormatPr defaultRowHeight="15" x14ac:dyDescent="0.25"/>
  <cols>
    <col min="1" max="1" width="13.140625" customWidth="1"/>
    <col min="2" max="2" width="21.28515625" customWidth="1"/>
    <col min="3" max="3" width="14.5703125" customWidth="1"/>
    <col min="4" max="4" width="17.85546875" customWidth="1"/>
    <col min="10" max="10" width="21.42578125" customWidth="1"/>
    <col min="11" max="11" width="14.7109375" customWidth="1"/>
  </cols>
  <sheetData>
    <row r="2" spans="1:13" x14ac:dyDescent="0.25">
      <c r="A2" s="3" t="s">
        <v>382</v>
      </c>
      <c r="B2" s="3" t="s">
        <v>383</v>
      </c>
      <c r="C2" s="3" t="s">
        <v>384</v>
      </c>
      <c r="D2" s="3" t="s">
        <v>385</v>
      </c>
      <c r="K2" t="s">
        <v>386</v>
      </c>
      <c r="L2" t="s">
        <v>387</v>
      </c>
      <c r="M2" t="s">
        <v>388</v>
      </c>
    </row>
    <row r="3" spans="1:13" x14ac:dyDescent="0.25">
      <c r="A3" s="71">
        <v>0</v>
      </c>
      <c r="K3" t="str">
        <f>Checklist!G14</f>
        <v>SB CT pumped</v>
      </c>
      <c r="L3" t="e">
        <f>Checklist!#REF!</f>
        <v>#REF!</v>
      </c>
      <c r="M3" t="e">
        <f>Checklist!#REF!</f>
        <v>#REF!</v>
      </c>
    </row>
    <row r="4" spans="1:13" x14ac:dyDescent="0.25">
      <c r="A4" t="s">
        <v>389</v>
      </c>
      <c r="B4">
        <v>702</v>
      </c>
      <c r="C4">
        <v>10</v>
      </c>
      <c r="D4">
        <v>9.6999999999999993</v>
      </c>
      <c r="K4" t="str">
        <f>Checklist!G15</f>
        <v>SB CT unpumped</v>
      </c>
      <c r="L4" t="e">
        <f>Checklist!#REF!</f>
        <v>#REF!</v>
      </c>
      <c r="M4" t="e">
        <f>Checklist!#REF!</f>
        <v>#REF!</v>
      </c>
    </row>
    <row r="5" spans="1:13" x14ac:dyDescent="0.25">
      <c r="A5" t="s">
        <v>390</v>
      </c>
      <c r="B5">
        <v>1026</v>
      </c>
      <c r="C5">
        <v>10</v>
      </c>
      <c r="D5">
        <v>9.6999999999999993</v>
      </c>
      <c r="K5" t="str">
        <f>Checklist!G16</f>
        <v>RBR CT</v>
      </c>
      <c r="L5" t="str">
        <f>Checklist!N109</f>
        <v>user input</v>
      </c>
      <c r="M5" t="str">
        <f>Checklist!O109</f>
        <v>user input</v>
      </c>
    </row>
    <row r="6" spans="1:13" x14ac:dyDescent="0.25">
      <c r="A6" t="s">
        <v>391</v>
      </c>
      <c r="B6">
        <v>540</v>
      </c>
      <c r="C6">
        <v>12.5</v>
      </c>
      <c r="D6">
        <v>12.5</v>
      </c>
      <c r="K6" t="str">
        <f>Checklist!G17</f>
        <v>WL (type)</v>
      </c>
      <c r="L6" t="e">
        <f>Checklist!#REF!</f>
        <v>#REF!</v>
      </c>
      <c r="M6" t="e">
        <f>Checklist!#REF!</f>
        <v>#REF!</v>
      </c>
    </row>
    <row r="7" spans="1:13" x14ac:dyDescent="0.25">
      <c r="A7" t="s">
        <v>392</v>
      </c>
      <c r="B7">
        <v>783</v>
      </c>
      <c r="C7">
        <v>12.5</v>
      </c>
      <c r="D7">
        <v>12.5</v>
      </c>
      <c r="K7" t="str">
        <f>Checklist!G18</f>
        <v>Microrider</v>
      </c>
      <c r="L7" t="str">
        <f>Checklist!N115</f>
        <v>user input</v>
      </c>
      <c r="M7" t="str">
        <f>Checklist!O115</f>
        <v>user input</v>
      </c>
    </row>
    <row r="8" spans="1:13" x14ac:dyDescent="0.25">
      <c r="A8" t="s">
        <v>393</v>
      </c>
      <c r="B8">
        <v>211.1</v>
      </c>
      <c r="C8">
        <v>13.5</v>
      </c>
      <c r="D8">
        <v>13.5</v>
      </c>
      <c r="K8" t="str">
        <f>Checklist!G19</f>
        <v>Optode</v>
      </c>
      <c r="L8" t="str">
        <f>Checklist!N124</f>
        <v>user input</v>
      </c>
      <c r="M8" t="str">
        <f>Checklist!O124</f>
        <v>user input</v>
      </c>
    </row>
    <row r="9" spans="1:13" x14ac:dyDescent="0.25">
      <c r="A9" t="s">
        <v>394</v>
      </c>
      <c r="B9">
        <v>293.8</v>
      </c>
      <c r="C9">
        <v>13.5</v>
      </c>
      <c r="D9">
        <v>13.5</v>
      </c>
      <c r="K9" t="str">
        <f>Checklist!G20</f>
        <v>Biospeherical PAR</v>
      </c>
      <c r="L9" t="e">
        <f>Checklist!#REF!</f>
        <v>#REF!</v>
      </c>
      <c r="M9" t="e">
        <f>Checklist!#REF!</f>
        <v>#REF!</v>
      </c>
    </row>
    <row r="10" spans="1:13" x14ac:dyDescent="0.25">
      <c r="K10" t="str">
        <f>Checklist!G21</f>
        <v>Satlantic PAR</v>
      </c>
      <c r="L10" t="str">
        <f>Checklist!N129</f>
        <v>user input</v>
      </c>
      <c r="M10" t="str">
        <f>Checklist!O129</f>
        <v>user input</v>
      </c>
    </row>
    <row r="11" spans="1:13" x14ac:dyDescent="0.25">
      <c r="A11" s="3" t="s">
        <v>395</v>
      </c>
      <c r="B11" s="3" t="s">
        <v>396</v>
      </c>
      <c r="C11" s="3" t="s">
        <v>397</v>
      </c>
      <c r="D11" s="3" t="s">
        <v>398</v>
      </c>
      <c r="K11" t="str">
        <f>Checklist!G22</f>
        <v>ADCP up</v>
      </c>
      <c r="L11" t="e">
        <f>Checklist!#REF!</f>
        <v>#REF!</v>
      </c>
      <c r="M11" t="e">
        <f>Checklist!#REF!</f>
        <v>#REF!</v>
      </c>
    </row>
    <row r="12" spans="1:13" x14ac:dyDescent="0.25">
      <c r="A12" s="3">
        <v>0</v>
      </c>
      <c r="B12" s="3"/>
      <c r="C12" s="3"/>
      <c r="K12" t="str">
        <f>Checklist!G23</f>
        <v xml:space="preserve">ADCP down </v>
      </c>
      <c r="L12" t="str">
        <f>Checklist!N135</f>
        <v>user input</v>
      </c>
      <c r="M12" t="str">
        <f>Checklist!O135</f>
        <v>user input</v>
      </c>
    </row>
    <row r="13" spans="1:13" x14ac:dyDescent="0.25">
      <c r="A13" t="s">
        <v>399</v>
      </c>
      <c r="B13">
        <v>1050</v>
      </c>
      <c r="C13">
        <v>1200</v>
      </c>
      <c r="D13">
        <v>7</v>
      </c>
      <c r="K13" t="str">
        <f>Checklist!G24</f>
        <v>PAM</v>
      </c>
      <c r="L13" t="e">
        <f>Checklist!#REF!</f>
        <v>#REF!</v>
      </c>
      <c r="M13" t="e">
        <f>Checklist!#REF!</f>
        <v>#REF!</v>
      </c>
    </row>
    <row r="14" spans="1:13" x14ac:dyDescent="0.25">
      <c r="A14" t="s">
        <v>400</v>
      </c>
      <c r="B14">
        <v>1050</v>
      </c>
      <c r="C14">
        <v>1200</v>
      </c>
      <c r="D14">
        <v>7</v>
      </c>
      <c r="K14" t="str">
        <f>Checklist!G25</f>
        <v>Echosounder</v>
      </c>
      <c r="L14" t="e">
        <f>Checklist!#REF!</f>
        <v>#REF!</v>
      </c>
      <c r="M14" t="e">
        <f>Checklist!#REF!</f>
        <v>#REF!</v>
      </c>
    </row>
    <row r="15" spans="1:13" x14ac:dyDescent="0.25">
      <c r="A15" t="s">
        <v>401</v>
      </c>
      <c r="B15">
        <v>360</v>
      </c>
      <c r="C15">
        <v>380</v>
      </c>
      <c r="D15">
        <v>7</v>
      </c>
      <c r="K15" t="str">
        <f>Checklist!G26</f>
        <v>Jasco Observer</v>
      </c>
      <c r="L15" t="e">
        <f>Checklist!#REF!</f>
        <v>#REF!</v>
      </c>
      <c r="M15" t="e">
        <f>Checklist!#REF!</f>
        <v>#REF!</v>
      </c>
    </row>
    <row r="16" spans="1:13" x14ac:dyDescent="0.25">
      <c r="A16" t="s">
        <v>402</v>
      </c>
      <c r="B16">
        <v>206</v>
      </c>
      <c r="C16">
        <v>250</v>
      </c>
      <c r="D16">
        <v>6</v>
      </c>
    </row>
    <row r="17" spans="1:8" x14ac:dyDescent="0.25">
      <c r="A17" t="s">
        <v>403</v>
      </c>
      <c r="B17">
        <v>206</v>
      </c>
      <c r="C17">
        <v>250</v>
      </c>
      <c r="D17">
        <v>6</v>
      </c>
    </row>
    <row r="19" spans="1:8" x14ac:dyDescent="0.25">
      <c r="A19" s="3" t="s">
        <v>404</v>
      </c>
      <c r="C19" s="3" t="s">
        <v>405</v>
      </c>
    </row>
    <row r="20" spans="1:8" x14ac:dyDescent="0.25">
      <c r="A20" t="s">
        <v>406</v>
      </c>
      <c r="C20" t="s">
        <v>407</v>
      </c>
    </row>
    <row r="21" spans="1:8" x14ac:dyDescent="0.25">
      <c r="A21" t="s">
        <v>408</v>
      </c>
      <c r="C21" t="s">
        <v>409</v>
      </c>
    </row>
    <row r="22" spans="1:8" x14ac:dyDescent="0.25">
      <c r="A22" t="s">
        <v>410</v>
      </c>
    </row>
    <row r="24" spans="1:8" x14ac:dyDescent="0.25">
      <c r="A24" s="3" t="s">
        <v>411</v>
      </c>
      <c r="C24" t="s">
        <v>412</v>
      </c>
    </row>
    <row r="25" spans="1:8" x14ac:dyDescent="0.25">
      <c r="A25" t="s">
        <v>413</v>
      </c>
      <c r="C25" t="s">
        <v>414</v>
      </c>
    </row>
    <row r="26" spans="1:8" x14ac:dyDescent="0.25">
      <c r="A26" t="s">
        <v>415</v>
      </c>
      <c r="C26" t="s">
        <v>416</v>
      </c>
    </row>
    <row r="27" spans="1:8" x14ac:dyDescent="0.25">
      <c r="C27" t="s">
        <v>417</v>
      </c>
    </row>
    <row r="28" spans="1:8" x14ac:dyDescent="0.25">
      <c r="A28" t="s">
        <v>35</v>
      </c>
      <c r="B28" t="s">
        <v>418</v>
      </c>
    </row>
    <row r="29" spans="1:8" x14ac:dyDescent="0.25">
      <c r="A29" t="s">
        <v>27</v>
      </c>
      <c r="B29" t="s">
        <v>229</v>
      </c>
    </row>
    <row r="30" spans="1:8" x14ac:dyDescent="0.25">
      <c r="A30" t="s">
        <v>226</v>
      </c>
      <c r="B30" t="s">
        <v>419</v>
      </c>
    </row>
    <row r="31" spans="1:8" x14ac:dyDescent="0.25">
      <c r="A31" t="s">
        <v>107</v>
      </c>
    </row>
    <row r="32" spans="1:8" x14ac:dyDescent="0.25">
      <c r="A32" s="3" t="s">
        <v>420</v>
      </c>
      <c r="B32" s="3"/>
      <c r="C32" s="3"/>
      <c r="D32" s="3"/>
      <c r="E32" s="3"/>
      <c r="F32" s="3"/>
      <c r="G32" s="3"/>
      <c r="H32" s="3"/>
    </row>
    <row r="33" spans="1:8" x14ac:dyDescent="0.25">
      <c r="A33" s="3" t="s">
        <v>421</v>
      </c>
      <c r="B33" s="3"/>
      <c r="C33" s="3" t="s">
        <v>422</v>
      </c>
      <c r="D33" s="3"/>
      <c r="E33" s="3"/>
      <c r="F33" s="3" t="s">
        <v>423</v>
      </c>
      <c r="G33" s="3"/>
      <c r="H33" s="3"/>
    </row>
    <row r="34" spans="1:8" x14ac:dyDescent="0.25">
      <c r="A34" s="3"/>
      <c r="B34" s="3"/>
      <c r="C34" s="3" t="s">
        <v>424</v>
      </c>
      <c r="D34" s="3" t="s">
        <v>425</v>
      </c>
      <c r="E34" s="3"/>
      <c r="F34" s="3" t="s">
        <v>424</v>
      </c>
      <c r="G34" s="3" t="s">
        <v>425</v>
      </c>
      <c r="H34" s="3"/>
    </row>
    <row r="35" spans="1:8" x14ac:dyDescent="0.25">
      <c r="A35">
        <v>0</v>
      </c>
      <c r="C35" t="b">
        <f>IF(Checklist!I157&gt;0,Checklist!I157, FALSE)</f>
        <v>0</v>
      </c>
      <c r="D35">
        <f>IF(C35&lt;180, C35-A35, C35-360)</f>
        <v>-360</v>
      </c>
      <c r="F35" t="b">
        <f>IF(Checklist!I169&gt;0,Checklist!I169, FALSE)</f>
        <v>0</v>
      </c>
      <c r="G35">
        <f>IF(F35&lt;180, F35-A35, F35-360)</f>
        <v>-360</v>
      </c>
    </row>
    <row r="36" spans="1:8" x14ac:dyDescent="0.25">
      <c r="A36">
        <v>45</v>
      </c>
      <c r="C36" t="b">
        <f>IF(Checklist!I158&gt;0,Checklist!I158, FALSE)</f>
        <v>0</v>
      </c>
      <c r="D36">
        <f t="shared" ref="D36:D40" si="0">C36-A36</f>
        <v>-45</v>
      </c>
      <c r="F36" t="b">
        <f>IF(Checklist!I170&gt;0,Checklist!I170, FALSE)</f>
        <v>0</v>
      </c>
      <c r="G36">
        <f t="shared" ref="G36:G41" si="1">F36-A36</f>
        <v>-45</v>
      </c>
    </row>
    <row r="37" spans="1:8" x14ac:dyDescent="0.25">
      <c r="A37">
        <v>90</v>
      </c>
      <c r="C37" t="b">
        <f>IF(Checklist!I159&gt;0,Checklist!I159, FALSE)</f>
        <v>0</v>
      </c>
      <c r="D37">
        <f t="shared" si="0"/>
        <v>-90</v>
      </c>
      <c r="F37" t="b">
        <f>IF(Checklist!I171&gt;0,Checklist!I171, FALSE)</f>
        <v>0</v>
      </c>
      <c r="G37">
        <f t="shared" si="1"/>
        <v>-90</v>
      </c>
    </row>
    <row r="38" spans="1:8" x14ac:dyDescent="0.25">
      <c r="A38">
        <v>135</v>
      </c>
      <c r="C38" t="b">
        <f>IF(Checklist!I160&gt;0,Checklist!I160, FALSE)</f>
        <v>0</v>
      </c>
      <c r="D38">
        <f t="shared" si="0"/>
        <v>-135</v>
      </c>
      <c r="F38" t="b">
        <f>IF(Checklist!I172&gt;0,Checklist!I172, FALSE)</f>
        <v>0</v>
      </c>
      <c r="G38">
        <f t="shared" si="1"/>
        <v>-135</v>
      </c>
    </row>
    <row r="39" spans="1:8" x14ac:dyDescent="0.25">
      <c r="A39">
        <v>180</v>
      </c>
      <c r="C39" t="b">
        <f>IF(Checklist!I161&gt;0,Checklist!I161, FALSE)</f>
        <v>0</v>
      </c>
      <c r="D39">
        <f t="shared" si="0"/>
        <v>-180</v>
      </c>
      <c r="F39" t="b">
        <f>IF(Checklist!I173&gt;0,Checklist!I173, FALSE)</f>
        <v>0</v>
      </c>
      <c r="G39">
        <f t="shared" si="1"/>
        <v>-180</v>
      </c>
    </row>
    <row r="40" spans="1:8" x14ac:dyDescent="0.25">
      <c r="A40">
        <v>225</v>
      </c>
      <c r="C40" t="b">
        <f>IF(Checklist!I162&gt;0,Checklist!I162, FALSE)</f>
        <v>0</v>
      </c>
      <c r="D40">
        <f t="shared" si="0"/>
        <v>-225</v>
      </c>
      <c r="F40" t="b">
        <f>IF(Checklist!I174&gt;0,Checklist!I174, FALSE)</f>
        <v>0</v>
      </c>
      <c r="G40">
        <f t="shared" si="1"/>
        <v>-225</v>
      </c>
    </row>
    <row r="41" spans="1:8" x14ac:dyDescent="0.25">
      <c r="A41">
        <v>270</v>
      </c>
      <c r="C41" t="b">
        <f>IF(Checklist!I163&gt;0,Checklist!I163, FALSE)</f>
        <v>0</v>
      </c>
      <c r="D41">
        <f>C41-A41</f>
        <v>-270</v>
      </c>
      <c r="F41" t="b">
        <f>IF(Checklist!I175&gt;0,Checklist!I175, FALSE)</f>
        <v>0</v>
      </c>
      <c r="G41">
        <f t="shared" si="1"/>
        <v>-270</v>
      </c>
    </row>
    <row r="42" spans="1:8" x14ac:dyDescent="0.25">
      <c r="A42">
        <v>315</v>
      </c>
      <c r="C42" t="b">
        <f>IF(Checklist!I164&gt;0,Checklist!I164, FALSE)</f>
        <v>0</v>
      </c>
      <c r="D42">
        <f>C42-A42</f>
        <v>-315</v>
      </c>
      <c r="F42" t="b">
        <f>IF(Checklist!I176&gt;0,Checklist!I176, FALSE)</f>
        <v>0</v>
      </c>
      <c r="G42">
        <f>F42-A42</f>
        <v>-315</v>
      </c>
    </row>
    <row r="43" spans="1:8" x14ac:dyDescent="0.25">
      <c r="A43">
        <v>360</v>
      </c>
      <c r="C43" t="b">
        <f>IF(Checklist!I157&gt;0,Checklist!I157, FALSE)</f>
        <v>0</v>
      </c>
      <c r="D43">
        <f>D35</f>
        <v>-360</v>
      </c>
      <c r="F43" t="b">
        <f>IF(Checklist!I169&gt;0,Checklist!I169, FALSE)</f>
        <v>0</v>
      </c>
      <c r="G43">
        <f>G35</f>
        <v>-360</v>
      </c>
    </row>
    <row r="45" spans="1:8" x14ac:dyDescent="0.25">
      <c r="B45" s="3" t="s">
        <v>426</v>
      </c>
      <c r="D45" s="103" t="str">
        <f>IF(ISNUMBER(C35),MAX(D35:D43),"")</f>
        <v/>
      </c>
      <c r="G45" s="103" t="str">
        <f>IF(ISNUMBER(F35),MAX(G35:G43),"")</f>
        <v/>
      </c>
    </row>
    <row r="47" spans="1:8" x14ac:dyDescent="0.25">
      <c r="A47" t="s">
        <v>427</v>
      </c>
    </row>
    <row r="48" spans="1:8" x14ac:dyDescent="0.25">
      <c r="A48" t="s">
        <v>428</v>
      </c>
      <c r="B48" t="s">
        <v>429</v>
      </c>
      <c r="C48" t="s">
        <v>430</v>
      </c>
      <c r="D48" t="s">
        <v>431</v>
      </c>
    </row>
    <row r="49" spans="1:4" x14ac:dyDescent="0.25">
      <c r="A49" t="s">
        <v>432</v>
      </c>
      <c r="B49" t="s">
        <v>393</v>
      </c>
      <c r="C49" t="s">
        <v>433</v>
      </c>
      <c r="D49" t="s">
        <v>434</v>
      </c>
    </row>
    <row r="50" spans="1:4" x14ac:dyDescent="0.25">
      <c r="A50" t="s">
        <v>432</v>
      </c>
      <c r="B50" t="s">
        <v>394</v>
      </c>
      <c r="C50" t="s">
        <v>433</v>
      </c>
      <c r="D50" t="s">
        <v>434</v>
      </c>
    </row>
    <row r="51" spans="1:4" x14ac:dyDescent="0.25">
      <c r="A51" t="s">
        <v>432</v>
      </c>
      <c r="B51" t="s">
        <v>391</v>
      </c>
      <c r="C51" t="s">
        <v>433</v>
      </c>
      <c r="D51" t="s">
        <v>435</v>
      </c>
    </row>
    <row r="52" spans="1:4" x14ac:dyDescent="0.25">
      <c r="A52" t="s">
        <v>432</v>
      </c>
      <c r="B52" t="s">
        <v>392</v>
      </c>
      <c r="C52" t="s">
        <v>433</v>
      </c>
      <c r="D52" t="s">
        <v>435</v>
      </c>
    </row>
    <row r="53" spans="1:4" x14ac:dyDescent="0.25">
      <c r="A53" t="s">
        <v>432</v>
      </c>
      <c r="B53" t="s">
        <v>389</v>
      </c>
      <c r="C53" t="s">
        <v>433</v>
      </c>
      <c r="D53" t="s">
        <v>435</v>
      </c>
    </row>
    <row r="54" spans="1:4" x14ac:dyDescent="0.25">
      <c r="A54" t="s">
        <v>432</v>
      </c>
      <c r="B54" t="s">
        <v>390</v>
      </c>
      <c r="C54" t="s">
        <v>433</v>
      </c>
      <c r="D54" t="s">
        <v>435</v>
      </c>
    </row>
    <row r="55" spans="1:4" x14ac:dyDescent="0.25">
      <c r="A55" t="s">
        <v>436</v>
      </c>
      <c r="B55" t="s">
        <v>393</v>
      </c>
      <c r="C55" t="s">
        <v>437</v>
      </c>
      <c r="D55" t="s">
        <v>435</v>
      </c>
    </row>
    <row r="56" spans="1:4" x14ac:dyDescent="0.25">
      <c r="A56" t="s">
        <v>436</v>
      </c>
      <c r="B56" t="s">
        <v>394</v>
      </c>
      <c r="C56" t="s">
        <v>437</v>
      </c>
      <c r="D56" t="s">
        <v>435</v>
      </c>
    </row>
    <row r="57" spans="1:4" x14ac:dyDescent="0.25">
      <c r="A57" t="s">
        <v>436</v>
      </c>
      <c r="B57" t="s">
        <v>391</v>
      </c>
      <c r="C57" t="s">
        <v>437</v>
      </c>
      <c r="D57" t="s">
        <v>434</v>
      </c>
    </row>
    <row r="58" spans="1:4" x14ac:dyDescent="0.25">
      <c r="A58" t="s">
        <v>436</v>
      </c>
      <c r="B58" t="s">
        <v>392</v>
      </c>
      <c r="C58" t="s">
        <v>437</v>
      </c>
      <c r="D58" t="s">
        <v>434</v>
      </c>
    </row>
    <row r="59" spans="1:4" x14ac:dyDescent="0.25">
      <c r="A59" t="s">
        <v>436</v>
      </c>
      <c r="B59" t="s">
        <v>389</v>
      </c>
      <c r="C59" t="s">
        <v>437</v>
      </c>
      <c r="D59" t="s">
        <v>434</v>
      </c>
    </row>
    <row r="60" spans="1:4" x14ac:dyDescent="0.25">
      <c r="A60" t="s">
        <v>436</v>
      </c>
      <c r="B60" t="s">
        <v>390</v>
      </c>
      <c r="C60" t="s">
        <v>437</v>
      </c>
      <c r="D60" t="s">
        <v>434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8D84A073997149A3B3DF1230B567EE" ma:contentTypeVersion="22" ma:contentTypeDescription="Create a new document." ma:contentTypeScope="" ma:versionID="9a6247c2fc72353006c64fb4bc064625">
  <xsd:schema xmlns:xsd="http://www.w3.org/2001/XMLSchema" xmlns:xs="http://www.w3.org/2001/XMLSchema" xmlns:p="http://schemas.microsoft.com/office/2006/metadata/properties" xmlns:ns2="f9740006-a54a-4c9b-b636-2d8e4cc28d55" xmlns:ns3="a2159651-9e24-4b3a-b430-143f097d145c" targetNamespace="http://schemas.microsoft.com/office/2006/metadata/properties" ma:root="true" ma:fieldsID="0eb41fcd4053827ae40cf6c5fe8787cf" ns2:_="" ns3:_="">
    <xsd:import namespace="f9740006-a54a-4c9b-b636-2d8e4cc28d55"/>
    <xsd:import namespace="a2159651-9e24-4b3a-b430-143f097d145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Hyperlink"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40006-a54a-4c9b-b636-2d8e4cc28d55" elementFormDefault="qualified">
    <xsd:import namespace="http://schemas.microsoft.com/office/2006/documentManagement/types"/>
    <xsd:import namespace="http://schemas.microsoft.com/office/infopath/2007/PartnerControls"/>
    <xsd:element name="SharedWithUsers" ma:index="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1aeccf2-2658-4394-8e43-c9510a78722c}" ma:internalName="TaxCatchAll" ma:showField="CatchAllData" ma:web="f9740006-a54a-4c9b-b636-2d8e4cc28d5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2159651-9e24-4b3a-b430-143f097d145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9740006-a54a-4c9b-b636-2d8e4cc28d55" xsi:nil="true"/>
    <lcf76f155ced4ddcb4097134ff3c332f xmlns="a2159651-9e24-4b3a-b430-143f097d145c">
      <Terms xmlns="http://schemas.microsoft.com/office/infopath/2007/PartnerControls"/>
    </lcf76f155ced4ddcb4097134ff3c332f>
    <SharedWithUsers xmlns="f9740006-a54a-4c9b-b636-2d8e4cc28d55">
      <UserInfo>
        <DisplayName>Cerra, Alexander</DisplayName>
        <AccountId>121</AccountId>
        <AccountType/>
      </UserInfo>
      <UserInfo>
        <DisplayName>Woodward, Stephen C.A.</DisplayName>
        <AccountId>42</AccountId>
        <AccountType/>
      </UserInfo>
    </SharedWithUsers>
    <Hyperlink xmlns="a2159651-9e24-4b3a-b430-143f097d145c">
      <Url xsi:nil="true"/>
      <Description xsi:nil="true"/>
    </Hyper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5F104F-B748-4B7A-8727-2B96C3DBBA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740006-a54a-4c9b-b636-2d8e4cc28d55"/>
    <ds:schemaRef ds:uri="a2159651-9e24-4b3a-b430-143f097d14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1202A8D-392A-4F6C-BD06-DBEFF6BD3960}">
  <ds:schemaRefs>
    <ds:schemaRef ds:uri="http://schemas.microsoft.com/office/2006/metadata/properties"/>
    <ds:schemaRef ds:uri="http://schemas.microsoft.com/office/infopath/2007/PartnerControls"/>
    <ds:schemaRef ds:uri="f9740006-a54a-4c9b-b636-2d8e4cc28d55"/>
    <ds:schemaRef ds:uri="a2159651-9e24-4b3a-b430-143f097d145c"/>
  </ds:schemaRefs>
</ds:datastoreItem>
</file>

<file path=customXml/itemProps3.xml><?xml version="1.0" encoding="utf-8"?>
<ds:datastoreItem xmlns:ds="http://schemas.openxmlformats.org/officeDocument/2006/customXml" ds:itemID="{70466B50-CE90-478D-8CC4-F5194FC918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Checklist</vt:lpstr>
      <vt:lpstr>automation-nation</vt:lpstr>
      <vt:lpstr>Change Log</vt:lpstr>
      <vt:lpstr>constants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Cerra, Alexander</dc:creator>
  <cp:keywords/>
  <dc:description/>
  <cp:lastModifiedBy>Ollie Twigge</cp:lastModifiedBy>
  <cp:revision/>
  <dcterms:created xsi:type="dcterms:W3CDTF">2023-03-17T18:06:21Z</dcterms:created>
  <dcterms:modified xsi:type="dcterms:W3CDTF">2025-04-17T01:27:56Z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0x010100EC8D84A073997149A3B3DF1230B567EE</vt:lpwstr>
  </property>
  <property fmtid="{D5CDD505-2E9C-101B-9397-08002B2CF9AE}" pid="3" name="MediaServiceImageTags">
    <vt:lpwstr/>
  </property>
</Properties>
</file>